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66925"/>
  <mc:AlternateContent xmlns:mc="http://schemas.openxmlformats.org/markup-compatibility/2006">
    <mc:Choice Requires="x15">
      <x15ac:absPath xmlns:x15ac="http://schemas.microsoft.com/office/spreadsheetml/2010/11/ac" url="G:\p\NAV All Files 2006-2007\Monthly Portfolio\August 2026\Monthly portfolio Aug 2026\Monthly\"/>
    </mc:Choice>
  </mc:AlternateContent>
  <xr:revisionPtr revIDLastSave="0" documentId="13_ncr:1_{A86BDC8E-E1C5-4BF4-B3AF-165BE08C3A4F}" xr6:coauthVersionLast="47" xr6:coauthVersionMax="47" xr10:uidLastSave="{00000000-0000-0000-0000-000000000000}"/>
  <bookViews>
    <workbookView xWindow="-110" yWindow="-110" windowWidth="19420" windowHeight="11500" xr2:uid="{00000000-000D-0000-FFFF-FFFF00000000}"/>
  </bookViews>
  <sheets>
    <sheet name="JM Ultra Short to Short Term " sheetId="1" r:id="rId1"/>
  </sheets>
  <definedNames>
    <definedName name="_xlnm._FilterDatabase" localSheetId="0" hidden="1">'JM Ultra Short to Short Term '!$A$1:$J$176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7" i="1" l="1"/>
  <c r="F70" i="1" s="1"/>
  <c r="E57" i="1"/>
  <c r="E70" i="1" s="1"/>
</calcChain>
</file>

<file path=xl/sharedStrings.xml><?xml version="1.0" encoding="utf-8"?>
<sst xmlns="http://schemas.openxmlformats.org/spreadsheetml/2006/main" count="303" uniqueCount="236">
  <si>
    <t>JM Financial Mutual Fund</t>
  </si>
  <si>
    <t>ISIN</t>
  </si>
  <si>
    <t>DEBT INSTRUMENTS</t>
  </si>
  <si>
    <t>(a) Listed / awaiting listing on Stock Exchanges</t>
  </si>
  <si>
    <t>Sub Total</t>
  </si>
  <si>
    <t>(b) Privately placed / Unlisted</t>
  </si>
  <si>
    <t>NIL</t>
  </si>
  <si>
    <t>(c) Securitized Debt Instruments</t>
  </si>
  <si>
    <t>(d) Government Securities / SDL</t>
  </si>
  <si>
    <t>SOVEREIGN</t>
  </si>
  <si>
    <t>Total</t>
  </si>
  <si>
    <t>MONEY MARKET INSTRUMENTS</t>
  </si>
  <si>
    <t>Treasury Bills</t>
  </si>
  <si>
    <t>Certificate of Deposits</t>
  </si>
  <si>
    <t>CRISIL A1+</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</si>
  <si>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</si>
  <si>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</si>
  <si>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</si>
  <si>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</si>
  <si>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</si>
  <si>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</si>
  <si>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</si>
  <si>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</si>
  <si>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</si>
  <si>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</si>
  <si>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</si>
  <si>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</si>
  <si>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</si>
  <si>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</si>
  <si>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</si>
  <si>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</si>
  <si>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The risk of the scheme is Low to Moderate</t>
  </si>
  <si>
    <t xml:space="preserve">   The risk of the benchmark is Low to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</si>
  <si>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</si>
  <si>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</si>
  <si>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</si>
  <si>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</si>
  <si>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</si>
  <si>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</si>
  <si>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</si>
  <si>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</si>
  <si>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</si>
  <si>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</si>
  <si>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</si>
  <si>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</si>
  <si>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</si>
  <si>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</si>
  <si>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</si>
  <si>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</si>
  <si>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</si>
  <si>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</si>
  <si>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</si>
  <si>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</si>
  <si>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Quantity</t>
  </si>
  <si>
    <t>Market Value (In Rs. lakh)</t>
  </si>
  <si>
    <t>% To Net Assets</t>
  </si>
  <si>
    <t>Maturity Date</t>
  </si>
  <si>
    <t>Put/Call Option</t>
  </si>
  <si>
    <t>Yield</t>
  </si>
  <si>
    <t>**  Non Traded Security</t>
  </si>
  <si>
    <t># Unlisted Securities</t>
  </si>
  <si>
    <t>Non Convertible Debentures / Bonds</t>
  </si>
  <si>
    <t>CARE AA+</t>
  </si>
  <si>
    <t>INE233A08113</t>
  </si>
  <si>
    <t>8.4% Godrej Industries Ltd 27-AUG-2027**</t>
  </si>
  <si>
    <t>CRISIL AA+</t>
  </si>
  <si>
    <t>27-AUG-2027</t>
  </si>
  <si>
    <t>ICRA AAA</t>
  </si>
  <si>
    <t>CRISIL AAA</t>
  </si>
  <si>
    <t>INE248U07EW8</t>
  </si>
  <si>
    <t>9.61% 360 ONE Prime Limited 18-JAN-2027**</t>
  </si>
  <si>
    <t>CARE AA</t>
  </si>
  <si>
    <t>18-JAN-2027</t>
  </si>
  <si>
    <t>INE115A07MW4</t>
  </si>
  <si>
    <t>CARE AAA</t>
  </si>
  <si>
    <t>29-JAN-2028</t>
  </si>
  <si>
    <t>INE941D07166</t>
  </si>
  <si>
    <t>7.9% Sikka Ports &amp; Terminals Limited 18-NOV-2026**</t>
  </si>
  <si>
    <t>18-NOV-2026</t>
  </si>
  <si>
    <t>INE020B08AC9</t>
  </si>
  <si>
    <t>30-DEC-2026</t>
  </si>
  <si>
    <t>INE414G07JQ6</t>
  </si>
  <si>
    <t>25-NOV-2027</t>
  </si>
  <si>
    <t>INE115A07PR7</t>
  </si>
  <si>
    <t>6.65% LIC Housing Finance Limited 15-FEB-2027**</t>
  </si>
  <si>
    <t>15-FEB-2027</t>
  </si>
  <si>
    <t>INE134E08JP5</t>
  </si>
  <si>
    <t>03-APR-2028</t>
  </si>
  <si>
    <t>INE053F07AC3</t>
  </si>
  <si>
    <t>7.33% Indian Railway Finance Corporation Ltd 27-AUG-2027**</t>
  </si>
  <si>
    <t>INE261F08EK5</t>
  </si>
  <si>
    <t>24-FEB-2028</t>
  </si>
  <si>
    <t>7.85% Power Finance Corporation Limited 03-APR-2028**</t>
  </si>
  <si>
    <t>INE202B07JW4</t>
  </si>
  <si>
    <t>29-OCT-2027</t>
  </si>
  <si>
    <t>^YTC (AT1/Tier 2 bonds)</t>
  </si>
  <si>
    <t>Average Maturity ( Years )</t>
  </si>
  <si>
    <t>Scheme performance</t>
  </si>
  <si>
    <t>Regular Plan</t>
  </si>
  <si>
    <t>Direct Plan</t>
  </si>
  <si>
    <t>INE261F08EI9</t>
  </si>
  <si>
    <t>30-SEP-2027</t>
  </si>
  <si>
    <t>INE556F08KM1</t>
  </si>
  <si>
    <t>14-MAY-2027</t>
  </si>
  <si>
    <t>7.54% REC Limited 30-DEC-2026**</t>
  </si>
  <si>
    <t>Alternative Investment Fund Units</t>
  </si>
  <si>
    <t>7.95% LIC Housing Finance Limited 29-JAN-2028**</t>
  </si>
  <si>
    <t>8.05% Muthoot Finance Limited 25-NOV-2027**</t>
  </si>
  <si>
    <t>INE582L14JH5</t>
  </si>
  <si>
    <t>Tata Housing Development Company Ltd. 15-JAN-2027**</t>
  </si>
  <si>
    <t>CARE A1+</t>
  </si>
  <si>
    <t>15-JAN-2027</t>
  </si>
  <si>
    <t>Commercial Papers</t>
  </si>
  <si>
    <t>INE414G07JM5</t>
  </si>
  <si>
    <t>02-MAR-2028</t>
  </si>
  <si>
    <t>INE121A07RE9</t>
  </si>
  <si>
    <t>8.4% Cholamandalam Invest &amp; Finance Co Ltd 09-AUG-2028**</t>
  </si>
  <si>
    <t>09-AUG-2028</t>
  </si>
  <si>
    <t>INE115A07QW5</t>
  </si>
  <si>
    <t>11-FEB-2028</t>
  </si>
  <si>
    <t>INE261F08EM1</t>
  </si>
  <si>
    <t>24-MAR-2028</t>
  </si>
  <si>
    <t>7.74% LIC Housing Finance Limited 11-FEB-2028**</t>
  </si>
  <si>
    <t>IN002025Z500</t>
  </si>
  <si>
    <t>364 Days Treasury Bill  19-Mar-2027</t>
  </si>
  <si>
    <t>19-MAR-2027</t>
  </si>
  <si>
    <t>INE160A16UM5</t>
  </si>
  <si>
    <t>04-MAR-2027</t>
  </si>
  <si>
    <t>INE040A16IU7</t>
  </si>
  <si>
    <t>05-MAR-2027</t>
  </si>
  <si>
    <t>Corporate Debt Market Development Fund - Class A2 Units</t>
  </si>
  <si>
    <t>NOTES:</t>
  </si>
  <si>
    <t>As on</t>
  </si>
  <si>
    <t>Net Asset Values per unit as follows - Plan/Option</t>
  </si>
  <si>
    <t>(Regular) - Daily IDCW Option</t>
  </si>
  <si>
    <t>(Rs.)</t>
  </si>
  <si>
    <t>(Regular) - Growth Option</t>
  </si>
  <si>
    <t>(Regular) - Weekly IDCW Option</t>
  </si>
  <si>
    <t>(Regular) - Fortnightly IDCW Option</t>
  </si>
  <si>
    <t>(Regular) - Bonus Option ^^</t>
  </si>
  <si>
    <t>(Direct) - Daily IDCW Option</t>
  </si>
  <si>
    <t>(Direct) - Growth Option</t>
  </si>
  <si>
    <t>(Direct) - Weekly IDCW Option</t>
  </si>
  <si>
    <t>(Direct) - Fortnightly IDCW Option</t>
  </si>
  <si>
    <t>(Direct) - Bonus Option ^^</t>
  </si>
  <si>
    <t>^^ In terms of AMFI Best Practice Guidelines Circular No. 58 dated May 19, 2015, the Bonus Options under all the Schemes of JM Financial Mutual Fund are discontinued w.e.f. July 7, 2015. Fresh subscriptions through (fresh/additional/switches/ STP/SIP) under the Bonus Options of all the existing schemes of JM Financial Mutual Fund have been discontinued till further notice. The existing and fresh SIP transactions under the Bonus Options of all the Schemes has also been discontinued from the effective date.</t>
  </si>
  <si>
    <t>(Regular) -  Daily IDCW Option</t>
  </si>
  <si>
    <t>(Rs.) Per Unit</t>
  </si>
  <si>
    <t>Bonus declared during the period is Nil</t>
  </si>
  <si>
    <t>Total outstanding exposure in derivative instruments at the end of the period is Nil</t>
  </si>
  <si>
    <t>Total Securities classified as below investment grade or default and provided for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</si>
  <si>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</si>
  <si>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</si>
  <si>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</si>
  <si>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</si>
  <si>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</si>
  <si>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8.6% Muthoot Finance Limited 02-MAR-2028**</t>
  </si>
  <si>
    <t>7.79% SIDBI 14-MAY-2027**</t>
  </si>
  <si>
    <t>ICRA AA+</t>
  </si>
  <si>
    <t>INE774D07VO0</t>
  </si>
  <si>
    <t>7.9% Mahindra &amp; Mahindra Financial Serv Ltd. 21-FEB-2028**</t>
  </si>
  <si>
    <t>21-FEB-2028</t>
  </si>
  <si>
    <t>7.7% NABARD 30-SEP-2027**</t>
  </si>
  <si>
    <t>INE556F08KL3</t>
  </si>
  <si>
    <t>7.83% SIDBI 24-NOV-2028**</t>
  </si>
  <si>
    <t>24-NOV-2028</t>
  </si>
  <si>
    <t>INE556F08LB2</t>
  </si>
  <si>
    <t>7.04% SIDBI 09-FEB-2029**</t>
  </si>
  <si>
    <t>09-FEB-2029</t>
  </si>
  <si>
    <t>INE261F08ES8</t>
  </si>
  <si>
    <t>7.01% NABARD 16-MAR-2029**</t>
  </si>
  <si>
    <t>16-MAR-2029</t>
  </si>
  <si>
    <t>Punjab National Bank 04-MAR-2027**#</t>
  </si>
  <si>
    <t>INE476A16E38</t>
  </si>
  <si>
    <t>11-NOV-2026</t>
  </si>
  <si>
    <t>INE115A07QJ2</t>
  </si>
  <si>
    <t>7.7% LIC Housing Finance Limited 16-MAY-2028**</t>
  </si>
  <si>
    <t>16-MAY-2028</t>
  </si>
  <si>
    <t>Canara Bank 11-NOV-2026**#</t>
  </si>
  <si>
    <t>HDFC Bank Limited 05-MAR-2027**#</t>
  </si>
  <si>
    <t>8.75% Piramal Finance Ltd 29-OCT-2027</t>
  </si>
  <si>
    <t>7.73%</t>
  </si>
  <si>
    <t>6.76%</t>
  </si>
  <si>
    <t>IN002026Y162</t>
  </si>
  <si>
    <t>182 Days Treasury Bill 21-Jan-2027</t>
  </si>
  <si>
    <t>21-JAN-2027</t>
  </si>
  <si>
    <t>IN002025Z385</t>
  </si>
  <si>
    <t>364 Days Treasury Bill  17-Dec-2026</t>
  </si>
  <si>
    <t>17-DEC-2026</t>
  </si>
  <si>
    <t>IN002026Y121</t>
  </si>
  <si>
    <t>182 Days Treasury Bill 24-Dec-2026</t>
  </si>
  <si>
    <t>24-DEC-2026</t>
  </si>
  <si>
    <t>6.67%</t>
  </si>
  <si>
    <t>INE238AD6CN6</t>
  </si>
  <si>
    <t>Axis Bank Limited 07-DEC-2026**#</t>
  </si>
  <si>
    <t>07-DEC-2026</t>
  </si>
  <si>
    <t>INE692A16LS3</t>
  </si>
  <si>
    <t>Union Bank of India 16-MAR-2027**#</t>
  </si>
  <si>
    <t>ICRA A1+</t>
  </si>
  <si>
    <t>16-MAR-2027</t>
  </si>
  <si>
    <t>Note - Traded Securities (Debt) as on Aug 31, 2026</t>
  </si>
  <si>
    <t>Average Maturity Period is 0.85 years</t>
  </si>
  <si>
    <t>31.08.2026</t>
  </si>
  <si>
    <t>8.08%</t>
  </si>
  <si>
    <t>8.25%</t>
  </si>
  <si>
    <t>8.24%</t>
  </si>
  <si>
    <t>7.69%</t>
  </si>
  <si>
    <t>7.46%</t>
  </si>
  <si>
    <t>8.61%</t>
  </si>
  <si>
    <t>8.01%</t>
  </si>
  <si>
    <t>7.53% NABARD 24-MAR-2028</t>
  </si>
  <si>
    <t>7.63%</t>
  </si>
  <si>
    <t>7.44% NABARD 24-FEB-2028</t>
  </si>
  <si>
    <t>7.25%</t>
  </si>
  <si>
    <t>8.57%</t>
  </si>
  <si>
    <t>7.66%</t>
  </si>
  <si>
    <t>7.57%</t>
  </si>
  <si>
    <t>7.56%</t>
  </si>
  <si>
    <t>7.45%</t>
  </si>
  <si>
    <t>5.57%</t>
  </si>
  <si>
    <t>5.65%</t>
  </si>
  <si>
    <t>7.26%</t>
  </si>
  <si>
    <t>6.79%</t>
  </si>
  <si>
    <t>6.52%</t>
  </si>
  <si>
    <t>INE562A16RC9</t>
  </si>
  <si>
    <t>Indian Bank 01-SEP-2026#</t>
  </si>
  <si>
    <t>01-SEP-2026</t>
  </si>
  <si>
    <t>5.14%</t>
  </si>
  <si>
    <t>6.39%</t>
  </si>
  <si>
    <t>6.75%</t>
  </si>
  <si>
    <t>JM Ultra Short to Short Term Fund</t>
  </si>
  <si>
    <t>IDCW declared during the period (Gross)-Plan</t>
  </si>
  <si>
    <t>JM Ultra Short to Short Term Fund (Erstwhile known as JM Low Duration Fund) (An open ended ultra short to short term debt scheme investing in instruments such that the Macaulay duration of the portfolio is between 6 months to 12 months. A relatively low interest rate risk and moderate credit risk.)</t>
  </si>
  <si>
    <t>Monthly Portfolio Statement for the period ended 31.08.2026</t>
  </si>
  <si>
    <t>https://www.jmfinancialmf.com/products/Fixed-Income/JM-Ultra-Short-to-Short-Term-Fund-(Erstwhile-known-as-JM-Low-Duration-Fund)/J172/Regular-Plan-Growth-Option</t>
  </si>
  <si>
    <t>https://www.jmfinancialmf.com/products/Fixed-Income/JM-Ultra-Short-to-Short-Term-Fund-(Erstwhile-known-as-JM-Low-Duration-Fund)/J482/Direct-Plan-Growth-Option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</si>
</sst>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_(* #,##0.0000_);_(* \(#,##0.0000\);_(* &quot;-&quot;??_);_(@_)"/>
    <numFmt numFmtId="172" formatCode="0.00;[Red]0.00"/>
    <numFmt numFmtId="173" formatCode="_-* #,##0.00_-;\-* #,##0.00_-;_-* &quot;-&quot;??_-;_-@_-"/>
    <numFmt numFmtId="174" formatCode="0.0%"/>
  </numFmts>
  <fonts count="24"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u/>
      <sz val="11"/>
      <color theme="10"/>
      <name val="Calibri"/>
      <family val="2"/>
      <scheme val="minor"/>
    </font>
    <font>
      <b/>
      <sz val="8"/>
      <color theme="4"/>
      <name val="Century Gothic"/>
      <family val="2"/>
    </font>
    <font>
      <sz val="8"/>
      <color indexed="72"/>
      <name val="Century Gothic"/>
      <family val="2"/>
    </font>
    <font>
      <sz val="8"/>
      <color theme="1"/>
      <name val="Century Gothic"/>
      <family val="2"/>
    </font>
    <font>
      <b/>
      <sz val="8"/>
      <color theme="1"/>
      <name val="Century Gothic"/>
      <family val="2"/>
    </font>
    <font>
      <b/>
      <u/>
      <sz val="8"/>
      <color theme="4"/>
      <name val="Century Gothic"/>
      <family val="2"/>
    </font>
    <font>
      <b/>
      <u/>
      <sz val="8"/>
      <color theme="10"/>
      <name val="Century Gothic"/>
      <family val="2"/>
    </font>
    <font>
      <sz val="8"/>
      <name val="Times New Roman"/>
      <family val="1"/>
    </font>
    <font>
      <sz val="8"/>
      <color theme="1"/>
      <name val="Calibri"/>
      <family val="2"/>
      <scheme val="minor"/>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7" fillId="0" borderId="0"/>
    <xf numFmtId="164" fontId="2"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xf numFmtId="173" fontId="2" fillId="0" borderId="0" applyFont="0" applyFill="0" applyBorder="0" applyAlignment="0" applyProtection="0"/>
    <xf numFmtId="43" fontId="1" fillId="0" borderId="0" applyFont="0" applyFill="0" applyBorder="0" applyAlignment="0" applyProtection="0"/>
    <xf numFmtId="0" fontId="2" fillId="0" borderId="0"/>
    <xf numFmtId="0" fontId="7" fillId="0" borderId="0"/>
    <xf numFmtId="43" fontId="2" fillId="0" borderId="0" applyFont="0" applyFill="0" applyBorder="0" applyAlignment="0" applyProtection="0"/>
  </cellStyleXfs>
  <cellXfs count="142">
    <xf numFmtId="0" fontId="0" fillId="0" borderId="0" xfId="0"/>
    <xf numFmtId="0" fontId="4" fillId="0" borderId="0" xfId="0" applyFont="1"/>
    <xf numFmtId="0" fontId="4" fillId="0" borderId="0" xfId="0" applyFont="1" applyAlignment="1">
      <alignment horizontal="center"/>
    </xf>
    <xf numFmtId="165"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0" fontId="6" fillId="0" borderId="0" xfId="3" applyFont="1" applyAlignment="1">
      <alignment horizontal="right"/>
    </xf>
    <xf numFmtId="0" fontId="6" fillId="0" borderId="0" xfId="3" applyFont="1"/>
    <xf numFmtId="0" fontId="8" fillId="0" borderId="0" xfId="5" applyFont="1"/>
    <xf numFmtId="0" fontId="9" fillId="0" borderId="0" xfId="6" applyFont="1" applyAlignment="1">
      <alignment horizontal="left" vertical="top" wrapText="1"/>
    </xf>
    <xf numFmtId="0" fontId="10" fillId="0" borderId="0" xfId="6" applyFont="1"/>
    <xf numFmtId="0" fontId="11" fillId="0" borderId="0" xfId="3" applyFont="1" applyAlignment="1">
      <alignment horizontal="left" wrapText="1"/>
    </xf>
    <xf numFmtId="0" fontId="8" fillId="0" borderId="0" xfId="6" applyFont="1"/>
    <xf numFmtId="0" fontId="6" fillId="0" borderId="0" xfId="3" applyFont="1" applyAlignment="1">
      <alignment horizontal="left" wrapText="1"/>
    </xf>
    <xf numFmtId="165" fontId="6" fillId="0" borderId="0" xfId="1" applyNumberFormat="1" applyFont="1"/>
    <xf numFmtId="0" fontId="10" fillId="0" borderId="5" xfId="3" applyFont="1" applyBorder="1" applyAlignment="1">
      <alignment vertical="center" wrapText="1"/>
    </xf>
    <xf numFmtId="0" fontId="8" fillId="0" borderId="5" xfId="3" applyFont="1" applyBorder="1" applyAlignment="1">
      <alignment vertical="center" wrapText="1"/>
    </xf>
    <xf numFmtId="0" fontId="8" fillId="3" borderId="7" xfId="3" applyFont="1" applyFill="1" applyBorder="1" applyAlignment="1">
      <alignment horizontal="center" vertical="center" wrapText="1"/>
    </xf>
    <xf numFmtId="0" fontId="8" fillId="0" borderId="7" xfId="3" applyFont="1" applyBorder="1" applyAlignment="1">
      <alignment vertical="center" wrapText="1"/>
    </xf>
    <xf numFmtId="165" fontId="6" fillId="0" borderId="0" xfId="7" applyNumberFormat="1" applyFont="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xf numFmtId="0" fontId="6" fillId="4" borderId="1" xfId="3" applyFont="1" applyFill="1" applyBorder="1" applyAlignment="1">
      <alignment vertical="center" wrapText="1"/>
    </xf>
    <xf numFmtId="0" fontId="6" fillId="4" borderId="1" xfId="3" applyFont="1" applyFill="1" applyBorder="1" applyAlignment="1">
      <alignment horizontal="center" vertical="top" wrapText="1"/>
    </xf>
    <xf numFmtId="0" fontId="6" fillId="4" borderId="1" xfId="3" applyFont="1" applyFill="1" applyBorder="1" applyAlignment="1">
      <alignment wrapText="1"/>
    </xf>
    <xf numFmtId="0" fontId="6" fillId="4" borderId="1" xfId="3" applyFont="1" applyFill="1" applyBorder="1" applyAlignment="1">
      <alignment horizontal="left" wrapText="1"/>
    </xf>
    <xf numFmtId="0" fontId="6" fillId="0" borderId="1" xfId="3" applyFont="1" applyBorder="1" applyAlignment="1">
      <alignment horizontal="left" wrapText="1"/>
    </xf>
    <xf numFmtId="14" fontId="6" fillId="0" borderId="1" xfId="3" applyNumberFormat="1" applyFont="1" applyBorder="1" applyAlignment="1">
      <alignment horizontal="center" wrapText="1"/>
    </xf>
    <xf numFmtId="0" fontId="13" fillId="5" borderId="0" xfId="0" applyFont="1" applyFill="1"/>
    <xf numFmtId="0" fontId="5" fillId="0" borderId="1" xfId="0" applyFont="1" applyBorder="1" applyAlignment="1">
      <alignment horizontal="center" vertical="center" wrapText="1"/>
    </xf>
    <xf numFmtId="0" fontId="6" fillId="0" borderId="1" xfId="0" applyFont="1" applyBorder="1"/>
    <xf numFmtId="0" fontId="6" fillId="0" borderId="0" xfId="0" applyFont="1"/>
    <xf numFmtId="0" fontId="5" fillId="0" borderId="0" xfId="3" applyFont="1" applyAlignment="1">
      <alignment horizontal="center" wrapText="1"/>
    </xf>
    <xf numFmtId="0" fontId="5" fillId="0" borderId="0" xfId="0" applyFont="1" applyAlignment="1">
      <alignment wrapText="1"/>
    </xf>
    <xf numFmtId="0" fontId="14" fillId="0" borderId="0" xfId="0" applyFont="1" applyAlignment="1">
      <alignment horizontal="left" vertical="top"/>
    </xf>
    <xf numFmtId="0" fontId="6" fillId="0" borderId="0" xfId="0" applyFont="1" applyAlignment="1">
      <alignment wrapText="1"/>
    </xf>
    <xf numFmtId="0" fontId="6" fillId="0" borderId="0" xfId="0" applyFont="1" applyAlignment="1">
      <alignment horizontal="left" wrapText="1"/>
    </xf>
    <xf numFmtId="0" fontId="16" fillId="0" borderId="0" xfId="0" applyFont="1"/>
    <xf numFmtId="10" fontId="6" fillId="0" borderId="1" xfId="2" applyNumberFormat="1" applyFont="1" applyFill="1" applyBorder="1" applyAlignment="1">
      <alignment horizont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43"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8" fillId="0" borderId="1" xfId="0" applyFont="1" applyBorder="1"/>
    <xf numFmtId="0" fontId="14" fillId="0" borderId="1" xfId="0" applyFont="1" applyBorder="1" applyAlignment="1">
      <alignment horizontal="left" vertical="top"/>
    </xf>
    <xf numFmtId="166" fontId="8" fillId="0" borderId="1" xfId="0" applyNumberFormat="1" applyFont="1" applyBorder="1"/>
    <xf numFmtId="0" fontId="8" fillId="0" borderId="1" xfId="0" applyFont="1" applyBorder="1" applyAlignment="1">
      <alignment horizontal="right"/>
    </xf>
    <xf numFmtId="0" fontId="17" fillId="0" borderId="1" xfId="0" applyFont="1" applyBorder="1" applyAlignment="1">
      <alignment horizontal="right" vertical="top"/>
    </xf>
    <xf numFmtId="0" fontId="17" fillId="0" borderId="1" xfId="0" applyFont="1" applyBorder="1" applyAlignment="1">
      <alignment horizontal="left" vertical="top"/>
    </xf>
    <xf numFmtId="4" fontId="17" fillId="0" borderId="1" xfId="0" applyNumberFormat="1" applyFont="1" applyBorder="1" applyAlignment="1">
      <alignment horizontal="left" vertical="top"/>
    </xf>
    <xf numFmtId="4" fontId="5" fillId="0" borderId="1" xfId="0" applyNumberFormat="1" applyFont="1" applyBorder="1" applyAlignment="1">
      <alignment horizontal="right" vertical="top"/>
    </xf>
    <xf numFmtId="166" fontId="5" fillId="0" borderId="1" xfId="0" applyNumberFormat="1" applyFont="1" applyBorder="1" applyAlignment="1">
      <alignment horizontal="right" vertical="top"/>
    </xf>
    <xf numFmtId="4" fontId="10" fillId="0" borderId="1" xfId="0" applyNumberFormat="1" applyFont="1" applyBorder="1" applyAlignment="1">
      <alignment horizontal="right"/>
    </xf>
    <xf numFmtId="4" fontId="17" fillId="0" borderId="1" xfId="0" applyNumberFormat="1" applyFont="1" applyBorder="1" applyAlignment="1">
      <alignment horizontal="right" vertical="top"/>
    </xf>
    <xf numFmtId="167" fontId="17" fillId="0" borderId="1" xfId="0" applyNumberFormat="1" applyFont="1" applyBorder="1" applyAlignment="1">
      <alignment horizontal="right" vertical="top"/>
    </xf>
    <xf numFmtId="4" fontId="8" fillId="0" borderId="1" xfId="0" applyNumberFormat="1" applyFont="1" applyBorder="1"/>
    <xf numFmtId="4" fontId="14"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67" fontId="6" fillId="0" borderId="1" xfId="0" applyNumberFormat="1" applyFont="1" applyBorder="1" applyAlignment="1">
      <alignment horizontal="right" vertical="top"/>
    </xf>
    <xf numFmtId="0" fontId="10" fillId="0" borderId="1" xfId="0" applyFont="1" applyBorder="1"/>
    <xf numFmtId="4" fontId="10" fillId="0" borderId="1" xfId="0" applyNumberFormat="1" applyFont="1" applyBorder="1"/>
    <xf numFmtId="0" fontId="17" fillId="0" borderId="1" xfId="0" applyFont="1" applyBorder="1" applyAlignment="1">
      <alignment horizontal="left" vertical="top" wrapText="1"/>
    </xf>
    <xf numFmtId="0" fontId="17" fillId="0" borderId="1" xfId="0" applyFont="1" applyBorder="1" applyAlignment="1">
      <alignment horizontal="right" vertical="top" wrapText="1"/>
    </xf>
    <xf numFmtId="167" fontId="17" fillId="0" borderId="1" xfId="0" applyNumberFormat="1" applyFont="1" applyBorder="1" applyAlignment="1">
      <alignment horizontal="right" vertical="top" wrapText="1"/>
    </xf>
    <xf numFmtId="167" fontId="6"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8" fontId="17" fillId="0" borderId="1" xfId="0" applyNumberFormat="1" applyFont="1" applyBorder="1" applyAlignment="1">
      <alignment horizontal="right" vertical="top" wrapText="1"/>
    </xf>
    <xf numFmtId="166" fontId="17" fillId="0" borderId="1" xfId="0" applyNumberFormat="1" applyFont="1" applyBorder="1" applyAlignment="1">
      <alignment horizontal="right" vertical="top" wrapText="1"/>
    </xf>
    <xf numFmtId="4" fontId="10" fillId="0" borderId="1" xfId="0" applyNumberFormat="1" applyFont="1" applyBorder="1" applyAlignment="1">
      <alignment horizontal="right" vertical="top"/>
    </xf>
    <xf numFmtId="10" fontId="8" fillId="0" borderId="1" xfId="2" applyNumberFormat="1" applyFont="1" applyFill="1" applyBorder="1" applyAlignment="1">
      <alignment horizontal="right"/>
    </xf>
    <xf numFmtId="10" fontId="8" fillId="0" borderId="1" xfId="2" applyNumberFormat="1" applyFont="1" applyFill="1" applyBorder="1" applyAlignment="1"/>
    <xf numFmtId="4" fontId="8" fillId="0" borderId="1" xfId="0" applyNumberFormat="1" applyFont="1" applyBorder="1" applyAlignment="1">
      <alignment horizontal="right" vertical="top"/>
    </xf>
    <xf numFmtId="10" fontId="5" fillId="0" borderId="1" xfId="2" applyNumberFormat="1" applyFont="1" applyBorder="1" applyAlignment="1">
      <alignment horizontal="right" vertical="top"/>
    </xf>
    <xf numFmtId="0" fontId="6" fillId="0" borderId="1" xfId="0" applyFont="1" applyBorder="1" applyAlignment="1">
      <alignment wrapText="1"/>
    </xf>
    <xf numFmtId="10" fontId="17" fillId="0" borderId="1" xfId="2" applyNumberFormat="1" applyFont="1" applyBorder="1" applyAlignment="1">
      <alignment horizontal="right" vertical="top"/>
    </xf>
    <xf numFmtId="0" fontId="5" fillId="0" borderId="1" xfId="0" applyFont="1" applyBorder="1" applyAlignment="1">
      <alignment wrapText="1"/>
    </xf>
    <xf numFmtId="169" fontId="6" fillId="0" borderId="1" xfId="0" applyNumberFormat="1" applyFont="1" applyBorder="1" applyAlignment="1">
      <alignment horizontal="right" vertical="top"/>
    </xf>
    <xf numFmtId="169" fontId="5" fillId="0" borderId="1" xfId="0" applyNumberFormat="1" applyFont="1" applyBorder="1" applyAlignment="1">
      <alignment horizontal="right" vertical="top"/>
    </xf>
    <xf numFmtId="0" fontId="18" fillId="0" borderId="1" xfId="0" applyFont="1" applyBorder="1"/>
    <xf numFmtId="10" fontId="10" fillId="0" borderId="1" xfId="2" applyNumberFormat="1" applyFont="1" applyBorder="1"/>
    <xf numFmtId="0" fontId="18" fillId="0" borderId="1" xfId="0" applyFont="1" applyBorder="1" applyAlignment="1">
      <alignment horizontal="right"/>
    </xf>
    <xf numFmtId="0" fontId="18" fillId="0" borderId="0" xfId="0" applyFont="1"/>
    <xf numFmtId="4" fontId="10" fillId="0" borderId="0" xfId="0" applyNumberFormat="1" applyFont="1"/>
    <xf numFmtId="167" fontId="5" fillId="0" borderId="0" xfId="0" applyNumberFormat="1" applyFont="1" applyAlignment="1">
      <alignment horizontal="right" vertical="top"/>
    </xf>
    <xf numFmtId="0" fontId="18" fillId="0" borderId="0" xfId="0" applyFont="1" applyAlignment="1">
      <alignment horizontal="right"/>
    </xf>
    <xf numFmtId="0" fontId="20" fillId="0" borderId="0" xfId="9" applyFont="1" applyAlignment="1"/>
    <xf numFmtId="0" fontId="21" fillId="0" borderId="0" xfId="9" applyFont="1" applyAlignment="1"/>
    <xf numFmtId="2" fontId="6" fillId="0" borderId="1" xfId="3" applyNumberFormat="1" applyFont="1" applyBorder="1" applyAlignment="1">
      <alignment horizontal="center" wrapText="1"/>
    </xf>
    <xf numFmtId="0" fontId="5" fillId="0" borderId="0" xfId="0" applyFont="1"/>
    <xf numFmtId="0" fontId="6" fillId="0" borderId="0" xfId="0" applyFont="1" applyAlignment="1">
      <alignment horizontal="left"/>
    </xf>
    <xf numFmtId="165" fontId="6" fillId="0" borderId="0" xfId="7" applyNumberFormat="1" applyFont="1" applyFill="1" applyAlignment="1"/>
    <xf numFmtId="0" fontId="6" fillId="0" borderId="0" xfId="0" applyFont="1" applyAlignment="1">
      <alignment horizontal="right"/>
    </xf>
    <xf numFmtId="164" fontId="6" fillId="0" borderId="0" xfId="7" applyFont="1" applyFill="1" applyBorder="1" applyAlignment="1">
      <alignment horizontal="right"/>
    </xf>
    <xf numFmtId="0" fontId="6" fillId="0" borderId="0" xfId="0" applyFont="1" applyAlignment="1">
      <alignment horizontal="center"/>
    </xf>
    <xf numFmtId="4" fontId="5" fillId="0" borderId="0" xfId="7" applyNumberFormat="1" applyFont="1" applyFill="1" applyBorder="1" applyAlignment="1">
      <alignment horizontal="center"/>
    </xf>
    <xf numFmtId="15" fontId="5" fillId="0" borderId="0" xfId="0" applyNumberFormat="1" applyFont="1" applyAlignment="1">
      <alignment horizontal="center"/>
    </xf>
    <xf numFmtId="170" fontId="6" fillId="0" borderId="0" xfId="0" applyNumberFormat="1" applyFont="1" applyAlignment="1">
      <alignment horizontal="center"/>
    </xf>
    <xf numFmtId="171" fontId="5" fillId="0" borderId="0" xfId="7" applyNumberFormat="1" applyFont="1" applyFill="1" applyBorder="1" applyAlignment="1">
      <alignment horizontal="right"/>
    </xf>
    <xf numFmtId="172" fontId="6" fillId="0" borderId="0" xfId="0" applyNumberFormat="1" applyFont="1" applyAlignment="1">
      <alignment horizontal="right"/>
    </xf>
    <xf numFmtId="0" fontId="6" fillId="0" borderId="0" xfId="0" applyFont="1" applyAlignment="1">
      <alignment vertical="center"/>
    </xf>
    <xf numFmtId="0" fontId="6" fillId="0" borderId="0" xfId="0" applyFont="1" applyAlignment="1">
      <alignment horizontal="left" vertical="center"/>
    </xf>
    <xf numFmtId="172" fontId="6" fillId="0" borderId="0" xfId="0" applyNumberFormat="1" applyFont="1"/>
    <xf numFmtId="165" fontId="6" fillId="0" borderId="0" xfId="10" applyNumberFormat="1" applyFont="1" applyFill="1" applyBorder="1" applyAlignment="1"/>
    <xf numFmtId="165" fontId="6" fillId="0" borderId="0" xfId="7" applyNumberFormat="1" applyFont="1" applyFill="1" applyBorder="1" applyAlignment="1"/>
    <xf numFmtId="174" fontId="5" fillId="0" borderId="1" xfId="0" applyNumberFormat="1" applyFont="1" applyBorder="1" applyAlignment="1">
      <alignment horizontal="center" vertical="center" wrapText="1"/>
    </xf>
    <xf numFmtId="174" fontId="17" fillId="0" borderId="1" xfId="0" applyNumberFormat="1" applyFont="1" applyBorder="1" applyAlignment="1">
      <alignment horizontal="right" vertical="top"/>
    </xf>
    <xf numFmtId="174" fontId="17" fillId="0" borderId="0" xfId="0" applyNumberFormat="1" applyFont="1" applyAlignment="1">
      <alignment horizontal="right" vertical="top"/>
    </xf>
    <xf numFmtId="174" fontId="6" fillId="0" borderId="0" xfId="0" applyNumberFormat="1" applyFont="1"/>
    <xf numFmtId="174" fontId="4" fillId="0" borderId="0" xfId="0" applyNumberFormat="1" applyFont="1"/>
    <xf numFmtId="10" fontId="17" fillId="0" borderId="1" xfId="0" applyNumberFormat="1" applyFont="1" applyBorder="1" applyAlignment="1">
      <alignment horizontal="right" vertical="top"/>
    </xf>
    <xf numFmtId="0" fontId="22" fillId="0" borderId="0" xfId="0" applyFont="1"/>
    <xf numFmtId="170" fontId="8" fillId="0" borderId="0" xfId="6" applyNumberFormat="1" applyFont="1"/>
    <xf numFmtId="0" fontId="15" fillId="0" borderId="0" xfId="9" applyAlignment="1">
      <alignment horizontal="left" wrapText="1"/>
    </xf>
    <xf numFmtId="43" fontId="8" fillId="0" borderId="0" xfId="1" applyFont="1"/>
    <xf numFmtId="170" fontId="6" fillId="0" borderId="0" xfId="0" applyNumberFormat="1" applyFont="1"/>
    <xf numFmtId="0" fontId="10" fillId="0" borderId="6" xfId="3" applyFont="1" applyBorder="1" applyAlignment="1">
      <alignment vertical="center" wrapText="1"/>
    </xf>
    <xf numFmtId="0" fontId="10" fillId="0" borderId="5" xfId="3" applyFont="1" applyBorder="1" applyAlignment="1">
      <alignment vertical="center" wrapText="1"/>
    </xf>
    <xf numFmtId="0" fontId="6" fillId="4" borderId="8" xfId="3" applyFont="1" applyFill="1" applyBorder="1" applyAlignment="1">
      <alignment horizontal="center" wrapText="1"/>
    </xf>
    <xf numFmtId="0" fontId="6" fillId="4" borderId="9" xfId="3" applyFont="1" applyFill="1" applyBorder="1" applyAlignment="1">
      <alignment horizontal="center" wrapText="1"/>
    </xf>
    <xf numFmtId="0" fontId="6" fillId="0" borderId="0" xfId="0" applyFont="1" applyAlignment="1">
      <alignment vertical="top" wrapText="1"/>
    </xf>
    <xf numFmtId="0" fontId="23" fillId="0" borderId="0" xfId="0" applyFont="1" applyAlignment="1">
      <alignment vertical="top" wrapText="1"/>
    </xf>
    <xf numFmtId="0" fontId="6" fillId="0" borderId="0" xfId="0" applyFont="1" applyAlignment="1">
      <alignment horizontal="left" vertical="top" wrapText="1"/>
    </xf>
    <xf numFmtId="0" fontId="8" fillId="0" borderId="0" xfId="6" applyFont="1" applyAlignment="1">
      <alignment horizontal="left" vertical="top"/>
    </xf>
    <xf numFmtId="0" fontId="8" fillId="0" borderId="0" xfId="6" applyFont="1" applyAlignment="1">
      <alignment horizontal="left" vertical="top" wrapText="1"/>
    </xf>
    <xf numFmtId="0" fontId="10" fillId="0" borderId="0" xfId="5" applyFont="1" applyAlignment="1">
      <alignment horizontal="center"/>
    </xf>
    <xf numFmtId="0" fontId="5" fillId="0" borderId="0" xfId="3" applyFont="1" applyAlignment="1">
      <alignment horizontal="center"/>
    </xf>
    <xf numFmtId="0" fontId="5" fillId="0" borderId="0" xfId="3" applyFont="1" applyAlignment="1">
      <alignment horizontal="center" wrapText="1"/>
    </xf>
    <xf numFmtId="0" fontId="5" fillId="0" borderId="0" xfId="3" applyFont="1" applyAlignment="1">
      <alignment wrapText="1"/>
    </xf>
    <xf numFmtId="0" fontId="19" fillId="0" borderId="0" xfId="0" applyFont="1"/>
    <xf numFmtId="0" fontId="10" fillId="0" borderId="2" xfId="3" applyFont="1" applyBorder="1" applyAlignment="1">
      <alignment horizontal="center" vertic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9" fillId="0" borderId="0" xfId="6" applyFont="1" applyAlignment="1">
      <alignment horizontal="left" vertical="top" wrapText="1"/>
    </xf>
    <xf numFmtId="0" fontId="18" fillId="0" borderId="0" xfId="0" applyFont="1"/>
    <xf numFmtId="0" fontId="15" fillId="0" borderId="0" xfId="9" applyAlignment="1"/>
  </cellXfs>
  <cellStyles count="15">
    <cellStyle name="Comma" xfId="1" builtinId="3"/>
    <cellStyle name="Comma 2" xfId="11" xr:uid="{FECB4ADE-2A5F-498D-A288-42F201081D40}"/>
    <cellStyle name="Comma 3" xfId="7" xr:uid="{00000000-0005-0000-0000-000001000000}"/>
    <cellStyle name="Comma 3 2" xfId="14" xr:uid="{0775FBE6-35F2-4A1D-9DD9-F096B7868E02}"/>
    <cellStyle name="Comma_Template Portfolio Disclosure - 30.09.2013" xfId="10" xr:uid="{19EF22D4-F7CF-442F-8011-A5D52B006462}"/>
    <cellStyle name="Hyperlink" xfId="9" builtinId="8"/>
    <cellStyle name="Normal" xfId="0" builtinId="0"/>
    <cellStyle name="Normal 2 2 2" xfId="3" xr:uid="{00000000-0005-0000-0000-000004000000}"/>
    <cellStyle name="Normal 2 2_Template Portfolio Disclosure -31.01 2025" xfId="4" xr:uid="{00000000-0005-0000-0000-000005000000}"/>
    <cellStyle name="Normal 2 3 2" xfId="12" xr:uid="{5882F810-61CF-43EA-8145-B594949CFD86}"/>
    <cellStyle name="Normal 3" xfId="8" xr:uid="{00000000-0005-0000-0000-000006000000}"/>
    <cellStyle name="Normal 4_FF" xfId="13" xr:uid="{D2705D5F-262A-4023-B7A9-B69DF965BAC7}"/>
    <cellStyle name="Normal 4_IF" xfId="5" xr:uid="{00000000-0005-0000-0000-000007000000}"/>
    <cellStyle name="Normal 4_LD" xfId="6" xr:uid="{00000000-0005-0000-0000-000008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1444625</xdr:colOff>
      <xdr:row>131</xdr:row>
      <xdr:rowOff>3175</xdr:rowOff>
    </xdr:from>
    <xdr:to>
      <xdr:col>1</xdr:col>
      <xdr:colOff>2470150</xdr:colOff>
      <xdr:row>139</xdr:row>
      <xdr:rowOff>92074</xdr:rowOff>
    </xdr:to>
    <xdr:pic>
      <xdr:nvPicPr>
        <xdr:cNvPr id="4" name="Picture 3">
          <a:extLst>
            <a:ext uri="{FF2B5EF4-FFF2-40B4-BE49-F238E27FC236}">
              <a16:creationId xmlns:a16="http://schemas.microsoft.com/office/drawing/2014/main" id="{027DAF71-3FBE-427C-89B8-C9AE321DFA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44625" y="24977725"/>
          <a:ext cx="2819400" cy="15335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841375</xdr:colOff>
      <xdr:row>131</xdr:row>
      <xdr:rowOff>76200</xdr:rowOff>
    </xdr:from>
    <xdr:to>
      <xdr:col>5</xdr:col>
      <xdr:colOff>552075</xdr:colOff>
      <xdr:row>139</xdr:row>
      <xdr:rowOff>115730</xdr:rowOff>
    </xdr:to>
    <xdr:pic>
      <xdr:nvPicPr>
        <xdr:cNvPr id="5" name="Picture 6">
          <a:extLst>
            <a:ext uri="{FF2B5EF4-FFF2-40B4-BE49-F238E27FC236}">
              <a16:creationId xmlns:a16="http://schemas.microsoft.com/office/drawing/2014/main" id="{1C483AAF-0F67-4D7B-BCFC-76AC882CFB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84850" y="25050750"/>
          <a:ext cx="2768225" cy="1487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Fixed-Income/JM-Ultra-Short-to-Short-Term-Fund-(Erstwhile-known-as-JM-Low-Duration-Fund)/J482/Direct-Plan-Growth-Option" TargetMode="External"/><Relationship Id="rId1" Type="http://schemas.openxmlformats.org/officeDocument/2006/relationships/hyperlink" Target="https://www.jmfinancialmf.com/products/Fixed-Income/JM-Ultra-Short-to-Short-Term-Fund-(Erstwhile-known-as-JM-Low-Duration-Fund)/J17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6"/>
  <sheetViews>
    <sheetView tabSelected="1" topLeftCell="A156" zoomScaleNormal="100" workbookViewId="0">
      <selection activeCell="A169" sqref="A169"/>
    </sheetView>
  </sheetViews>
  <sheetFormatPr defaultColWidth="9.140625" defaultRowHeight="14.25" x14ac:dyDescent="0.3"/>
  <cols>
    <col min="1" max="1" width="27" style="21" customWidth="1"/>
    <col min="2" max="2" width="52.7109375" style="22" bestFit="1" customWidth="1"/>
    <col min="3" max="3" width="15.140625" style="23" customWidth="1"/>
    <col min="4" max="4" width="18.5703125" style="1" bestFit="1" customWidth="1"/>
    <col min="5" max="5" width="12.140625" style="1" bestFit="1" customWidth="1"/>
    <col min="6" max="6" width="11.140625" style="1" bestFit="1" customWidth="1"/>
    <col min="7" max="7" width="11.7109375" style="1" bestFit="1" customWidth="1"/>
    <col min="8" max="8" width="11.42578125" style="1" bestFit="1" customWidth="1"/>
    <col min="9" max="9" width="8.7109375" style="112" customWidth="1"/>
    <col min="10" max="10" width="9.140625" style="33"/>
    <col min="11" max="16384" width="9.140625" style="1"/>
  </cols>
  <sheetData>
    <row r="1" spans="1:10" ht="13.5" x14ac:dyDescent="0.25">
      <c r="A1" s="136" t="s">
        <v>0</v>
      </c>
      <c r="B1" s="136"/>
      <c r="C1" s="136"/>
      <c r="D1" s="136"/>
      <c r="E1" s="136"/>
      <c r="F1" s="136"/>
      <c r="G1" s="136"/>
      <c r="H1" s="136"/>
      <c r="I1" s="136"/>
      <c r="J1" s="30"/>
    </row>
    <row r="2" spans="1:10" ht="26.25" customHeight="1" x14ac:dyDescent="0.25">
      <c r="A2" s="137" t="s">
        <v>232</v>
      </c>
      <c r="B2" s="137"/>
      <c r="C2" s="137"/>
      <c r="D2" s="137"/>
      <c r="E2" s="137"/>
      <c r="F2" s="137"/>
      <c r="G2" s="137"/>
      <c r="H2" s="137"/>
      <c r="I2" s="137"/>
      <c r="J2" s="30"/>
    </row>
    <row r="3" spans="1:10" ht="12.95" customHeight="1" x14ac:dyDescent="0.25">
      <c r="A3" s="138" t="s">
        <v>233</v>
      </c>
      <c r="B3" s="138"/>
      <c r="C3" s="138"/>
      <c r="D3" s="138"/>
      <c r="E3" s="138"/>
      <c r="F3" s="138"/>
      <c r="G3" s="138"/>
      <c r="H3" s="138"/>
      <c r="I3" s="138"/>
      <c r="J3" s="30"/>
    </row>
    <row r="4" spans="1:10" s="2" customFormat="1" ht="38.25" x14ac:dyDescent="0.2">
      <c r="A4" s="31" t="s">
        <v>1</v>
      </c>
      <c r="B4" s="41" t="s">
        <v>51</v>
      </c>
      <c r="C4" s="42" t="s">
        <v>52</v>
      </c>
      <c r="D4" s="43" t="s">
        <v>53</v>
      </c>
      <c r="E4" s="44" t="s">
        <v>54</v>
      </c>
      <c r="F4" s="45" t="s">
        <v>55</v>
      </c>
      <c r="G4" s="31" t="s">
        <v>56</v>
      </c>
      <c r="H4" s="31" t="s">
        <v>57</v>
      </c>
      <c r="I4" s="108" t="s">
        <v>58</v>
      </c>
      <c r="J4" s="31" t="s">
        <v>95</v>
      </c>
    </row>
    <row r="5" spans="1:10" x14ac:dyDescent="0.3">
      <c r="A5" s="46"/>
      <c r="B5" s="47" t="s">
        <v>2</v>
      </c>
      <c r="C5" s="46"/>
      <c r="D5" s="46"/>
      <c r="E5" s="46"/>
      <c r="F5" s="48"/>
      <c r="G5" s="49"/>
      <c r="H5" s="46"/>
      <c r="I5" s="109"/>
      <c r="J5" s="32"/>
    </row>
    <row r="6" spans="1:10" x14ac:dyDescent="0.3">
      <c r="A6" s="51"/>
      <c r="B6" s="47" t="s">
        <v>3</v>
      </c>
      <c r="C6" s="51"/>
      <c r="D6" s="52"/>
      <c r="E6" s="53"/>
      <c r="F6" s="54"/>
      <c r="G6" s="50"/>
      <c r="H6" s="51"/>
      <c r="I6" s="109"/>
      <c r="J6" s="32"/>
    </row>
    <row r="7" spans="1:10" x14ac:dyDescent="0.3">
      <c r="A7" s="51"/>
      <c r="B7" s="47" t="s">
        <v>61</v>
      </c>
      <c r="C7" s="51"/>
      <c r="D7" s="52"/>
      <c r="E7" s="55"/>
      <c r="F7" s="55"/>
      <c r="G7" s="50"/>
      <c r="H7" s="51"/>
      <c r="I7" s="109"/>
      <c r="J7" s="32"/>
    </row>
    <row r="8" spans="1:10" x14ac:dyDescent="0.3">
      <c r="A8" s="51" t="s">
        <v>63</v>
      </c>
      <c r="B8" s="51" t="s">
        <v>64</v>
      </c>
      <c r="C8" s="51" t="s">
        <v>65</v>
      </c>
      <c r="D8" s="56">
        <v>1000000</v>
      </c>
      <c r="E8" s="56">
        <v>1002.873</v>
      </c>
      <c r="F8" s="57">
        <v>4.671978579257436E-2</v>
      </c>
      <c r="G8" s="57" t="s">
        <v>66</v>
      </c>
      <c r="H8" s="57"/>
      <c r="I8" s="78" t="s">
        <v>203</v>
      </c>
      <c r="J8" s="32"/>
    </row>
    <row r="9" spans="1:10" x14ac:dyDescent="0.3">
      <c r="A9" s="51" t="s">
        <v>93</v>
      </c>
      <c r="B9" s="51" t="s">
        <v>180</v>
      </c>
      <c r="C9" s="51" t="s">
        <v>158</v>
      </c>
      <c r="D9" s="56">
        <v>1000000</v>
      </c>
      <c r="E9" s="56">
        <v>1001.054</v>
      </c>
      <c r="F9" s="57">
        <v>4.663504595975735E-2</v>
      </c>
      <c r="G9" s="57" t="s">
        <v>94</v>
      </c>
      <c r="H9" s="57"/>
      <c r="I9" s="78">
        <v>8.5999999999999993E-2</v>
      </c>
      <c r="J9" s="32"/>
    </row>
    <row r="10" spans="1:10" x14ac:dyDescent="0.3">
      <c r="A10" s="51" t="s">
        <v>69</v>
      </c>
      <c r="B10" s="51" t="s">
        <v>70</v>
      </c>
      <c r="C10" s="51" t="s">
        <v>71</v>
      </c>
      <c r="D10" s="56">
        <v>743780</v>
      </c>
      <c r="E10" s="56">
        <v>746.16678999999999</v>
      </c>
      <c r="F10" s="57">
        <v>3.4760884572954717E-2</v>
      </c>
      <c r="G10" s="57" t="s">
        <v>72</v>
      </c>
      <c r="H10" s="57"/>
      <c r="I10" s="78" t="s">
        <v>204</v>
      </c>
      <c r="J10" s="32"/>
    </row>
    <row r="11" spans="1:10" x14ac:dyDescent="0.3">
      <c r="A11" s="51" t="s">
        <v>115</v>
      </c>
      <c r="B11" s="51" t="s">
        <v>116</v>
      </c>
      <c r="C11" s="51" t="s">
        <v>62</v>
      </c>
      <c r="D11" s="56">
        <v>500000</v>
      </c>
      <c r="E11" s="56">
        <v>501.327</v>
      </c>
      <c r="F11" s="57">
        <v>2.3354791735378185E-2</v>
      </c>
      <c r="G11" s="57" t="s">
        <v>117</v>
      </c>
      <c r="H11" s="57"/>
      <c r="I11" s="78" t="s">
        <v>205</v>
      </c>
      <c r="J11" s="32"/>
    </row>
    <row r="12" spans="1:10" x14ac:dyDescent="0.3">
      <c r="A12" s="51" t="s">
        <v>73</v>
      </c>
      <c r="B12" s="51" t="s">
        <v>106</v>
      </c>
      <c r="C12" s="51" t="s">
        <v>68</v>
      </c>
      <c r="D12" s="56">
        <v>500000</v>
      </c>
      <c r="E12" s="56">
        <v>501.25599999999997</v>
      </c>
      <c r="F12" s="57">
        <v>2.3351484133327605E-2</v>
      </c>
      <c r="G12" s="57" t="s">
        <v>75</v>
      </c>
      <c r="H12" s="57"/>
      <c r="I12" s="78">
        <v>7.6999999999999999E-2</v>
      </c>
      <c r="J12" s="32"/>
    </row>
    <row r="13" spans="1:10" x14ac:dyDescent="0.3">
      <c r="A13" s="51" t="s">
        <v>163</v>
      </c>
      <c r="B13" s="51" t="s">
        <v>164</v>
      </c>
      <c r="C13" s="51" t="s">
        <v>68</v>
      </c>
      <c r="D13" s="56">
        <v>500000</v>
      </c>
      <c r="E13" s="56">
        <v>501.11599999999999</v>
      </c>
      <c r="F13" s="57">
        <v>2.3344962101115189E-2</v>
      </c>
      <c r="G13" s="57" t="s">
        <v>165</v>
      </c>
      <c r="H13" s="57"/>
      <c r="I13" s="78" t="s">
        <v>206</v>
      </c>
      <c r="J13" s="32"/>
    </row>
    <row r="14" spans="1:10" x14ac:dyDescent="0.3">
      <c r="A14" s="51" t="s">
        <v>102</v>
      </c>
      <c r="B14" s="51" t="s">
        <v>157</v>
      </c>
      <c r="C14" s="51" t="s">
        <v>74</v>
      </c>
      <c r="D14" s="56">
        <v>500000</v>
      </c>
      <c r="E14" s="56">
        <v>501.10199999999998</v>
      </c>
      <c r="F14" s="57">
        <v>2.3344309897893951E-2</v>
      </c>
      <c r="G14" s="57" t="s">
        <v>103</v>
      </c>
      <c r="H14" s="57"/>
      <c r="I14" s="78" t="s">
        <v>207</v>
      </c>
      <c r="J14" s="32"/>
    </row>
    <row r="15" spans="1:10" x14ac:dyDescent="0.3">
      <c r="A15" s="51" t="s">
        <v>76</v>
      </c>
      <c r="B15" s="51" t="s">
        <v>77</v>
      </c>
      <c r="C15" s="51" t="s">
        <v>68</v>
      </c>
      <c r="D15" s="56">
        <v>500000</v>
      </c>
      <c r="E15" s="56">
        <v>500.85950000000003</v>
      </c>
      <c r="F15" s="57">
        <v>2.3333012806383162E-2</v>
      </c>
      <c r="G15" s="57" t="s">
        <v>78</v>
      </c>
      <c r="H15" s="57"/>
      <c r="I15" s="78" t="s">
        <v>192</v>
      </c>
      <c r="J15" s="32"/>
    </row>
    <row r="16" spans="1:10" x14ac:dyDescent="0.3">
      <c r="A16" s="51" t="s">
        <v>79</v>
      </c>
      <c r="B16" s="51" t="s">
        <v>104</v>
      </c>
      <c r="C16" s="51" t="s">
        <v>74</v>
      </c>
      <c r="D16" s="56">
        <v>500000</v>
      </c>
      <c r="E16" s="56">
        <v>500.70650000000001</v>
      </c>
      <c r="F16" s="57">
        <v>2.3325885156893877E-2</v>
      </c>
      <c r="G16" s="57" t="s">
        <v>80</v>
      </c>
      <c r="H16" s="57"/>
      <c r="I16" s="78" t="s">
        <v>182</v>
      </c>
      <c r="J16" s="32"/>
    </row>
    <row r="17" spans="1:10" x14ac:dyDescent="0.3">
      <c r="A17" s="51" t="s">
        <v>118</v>
      </c>
      <c r="B17" s="51" t="s">
        <v>122</v>
      </c>
      <c r="C17" s="51" t="s">
        <v>68</v>
      </c>
      <c r="D17" s="56">
        <v>500000</v>
      </c>
      <c r="E17" s="56">
        <v>499.90949999999998</v>
      </c>
      <c r="F17" s="57">
        <v>2.3288756159227493E-2</v>
      </c>
      <c r="G17" s="57" t="s">
        <v>119</v>
      </c>
      <c r="H17" s="57"/>
      <c r="I17" s="78">
        <v>7.6999999999999999E-2</v>
      </c>
      <c r="J17" s="32"/>
    </row>
    <row r="18" spans="1:10" x14ac:dyDescent="0.3">
      <c r="A18" s="51" t="s">
        <v>113</v>
      </c>
      <c r="B18" s="51" t="s">
        <v>156</v>
      </c>
      <c r="C18" s="51" t="s">
        <v>65</v>
      </c>
      <c r="D18" s="56">
        <v>500000</v>
      </c>
      <c r="E18" s="56">
        <v>499.52499999999998</v>
      </c>
      <c r="F18" s="57">
        <v>2.327084386361554E-2</v>
      </c>
      <c r="G18" s="57" t="s">
        <v>114</v>
      </c>
      <c r="H18" s="57"/>
      <c r="I18" s="78" t="s">
        <v>208</v>
      </c>
      <c r="J18" s="32"/>
    </row>
    <row r="19" spans="1:10" x14ac:dyDescent="0.3">
      <c r="A19" s="51" t="s">
        <v>159</v>
      </c>
      <c r="B19" s="51" t="s">
        <v>160</v>
      </c>
      <c r="C19" s="51" t="s">
        <v>74</v>
      </c>
      <c r="D19" s="56">
        <v>500000</v>
      </c>
      <c r="E19" s="56">
        <v>499.22750000000002</v>
      </c>
      <c r="F19" s="57">
        <v>2.3256984545164162E-2</v>
      </c>
      <c r="G19" s="57" t="s">
        <v>161</v>
      </c>
      <c r="H19" s="57"/>
      <c r="I19" s="78" t="s">
        <v>209</v>
      </c>
      <c r="J19" s="32"/>
    </row>
    <row r="20" spans="1:10" x14ac:dyDescent="0.3">
      <c r="A20" s="51" t="s">
        <v>120</v>
      </c>
      <c r="B20" s="51" t="s">
        <v>210</v>
      </c>
      <c r="C20" s="51" t="s">
        <v>67</v>
      </c>
      <c r="D20" s="56">
        <v>500000</v>
      </c>
      <c r="E20" s="56">
        <v>498.9495</v>
      </c>
      <c r="F20" s="57">
        <v>2.3244033652628081E-2</v>
      </c>
      <c r="G20" s="57" t="s">
        <v>121</v>
      </c>
      <c r="H20" s="57"/>
      <c r="I20" s="78" t="s">
        <v>211</v>
      </c>
      <c r="J20" s="32"/>
    </row>
    <row r="21" spans="1:10" x14ac:dyDescent="0.3">
      <c r="A21" s="51" t="s">
        <v>90</v>
      </c>
      <c r="B21" s="51" t="s">
        <v>212</v>
      </c>
      <c r="C21" s="51" t="s">
        <v>68</v>
      </c>
      <c r="D21" s="56">
        <v>500000</v>
      </c>
      <c r="E21" s="56">
        <v>498.37299999999999</v>
      </c>
      <c r="F21" s="57">
        <v>2.3217176855696249E-2</v>
      </c>
      <c r="G21" s="57" t="s">
        <v>91</v>
      </c>
      <c r="H21" s="57"/>
      <c r="I21" s="78" t="s">
        <v>211</v>
      </c>
      <c r="J21" s="32"/>
    </row>
    <row r="22" spans="1:10" x14ac:dyDescent="0.3">
      <c r="A22" s="51" t="s">
        <v>83</v>
      </c>
      <c r="B22" s="51" t="s">
        <v>84</v>
      </c>
      <c r="C22" s="51" t="s">
        <v>74</v>
      </c>
      <c r="D22" s="56">
        <v>500000</v>
      </c>
      <c r="E22" s="56">
        <v>498.09249999999997</v>
      </c>
      <c r="F22" s="57">
        <v>2.3204109498299232E-2</v>
      </c>
      <c r="G22" s="57" t="s">
        <v>85</v>
      </c>
      <c r="H22" s="57"/>
      <c r="I22" s="78" t="s">
        <v>213</v>
      </c>
      <c r="J22" s="32"/>
    </row>
    <row r="23" spans="1:10" x14ac:dyDescent="0.3">
      <c r="A23" s="51" t="s">
        <v>81</v>
      </c>
      <c r="B23" s="51" t="s">
        <v>107</v>
      </c>
      <c r="C23" s="51" t="s">
        <v>65</v>
      </c>
      <c r="D23" s="56">
        <v>500000</v>
      </c>
      <c r="E23" s="56">
        <v>496.77749999999997</v>
      </c>
      <c r="F23" s="57">
        <v>2.3142848981446914E-2</v>
      </c>
      <c r="G23" s="57" t="s">
        <v>82</v>
      </c>
      <c r="H23" s="57"/>
      <c r="I23" s="78" t="s">
        <v>214</v>
      </c>
      <c r="J23" s="32"/>
    </row>
    <row r="24" spans="1:10" x14ac:dyDescent="0.3">
      <c r="A24" s="51" t="s">
        <v>166</v>
      </c>
      <c r="B24" s="51" t="s">
        <v>167</v>
      </c>
      <c r="C24" s="51" t="s">
        <v>68</v>
      </c>
      <c r="D24" s="56">
        <v>500000</v>
      </c>
      <c r="E24" s="56">
        <v>493.04700000000003</v>
      </c>
      <c r="F24" s="57">
        <v>2.2969060115958263E-2</v>
      </c>
      <c r="G24" s="57" t="s">
        <v>168</v>
      </c>
      <c r="H24" s="57"/>
      <c r="I24" s="78" t="s">
        <v>215</v>
      </c>
      <c r="J24" s="32"/>
    </row>
    <row r="25" spans="1:10" x14ac:dyDescent="0.3">
      <c r="A25" s="51" t="s">
        <v>86</v>
      </c>
      <c r="B25" s="51" t="s">
        <v>92</v>
      </c>
      <c r="C25" s="51" t="s">
        <v>67</v>
      </c>
      <c r="D25" s="56">
        <v>400000</v>
      </c>
      <c r="E25" s="56">
        <v>402.38</v>
      </c>
      <c r="F25" s="57">
        <v>1.874525229736574E-2</v>
      </c>
      <c r="G25" s="57" t="s">
        <v>87</v>
      </c>
      <c r="H25" s="57"/>
      <c r="I25" s="78" t="s">
        <v>216</v>
      </c>
      <c r="J25" s="32"/>
    </row>
    <row r="26" spans="1:10" x14ac:dyDescent="0.3">
      <c r="A26" s="51" t="s">
        <v>100</v>
      </c>
      <c r="B26" s="51" t="s">
        <v>162</v>
      </c>
      <c r="C26" s="51" t="s">
        <v>67</v>
      </c>
      <c r="D26" s="56">
        <v>400000</v>
      </c>
      <c r="E26" s="56">
        <v>400.4776</v>
      </c>
      <c r="F26" s="57">
        <v>1.8656627196787907E-2</v>
      </c>
      <c r="G26" s="57" t="s">
        <v>101</v>
      </c>
      <c r="H26" s="57"/>
      <c r="I26" s="78" t="s">
        <v>217</v>
      </c>
      <c r="J26" s="32"/>
    </row>
    <row r="27" spans="1:10" x14ac:dyDescent="0.3">
      <c r="A27" s="51" t="s">
        <v>175</v>
      </c>
      <c r="B27" s="51" t="s">
        <v>176</v>
      </c>
      <c r="C27" s="51" t="s">
        <v>74</v>
      </c>
      <c r="D27" s="56">
        <v>350000</v>
      </c>
      <c r="E27" s="56">
        <v>349.65769999999998</v>
      </c>
      <c r="F27" s="57">
        <v>1.6289134162276009E-2</v>
      </c>
      <c r="G27" s="57" t="s">
        <v>177</v>
      </c>
      <c r="H27" s="57"/>
      <c r="I27" s="78" t="s">
        <v>181</v>
      </c>
      <c r="J27" s="32"/>
    </row>
    <row r="28" spans="1:10" x14ac:dyDescent="0.3">
      <c r="A28" s="51" t="s">
        <v>88</v>
      </c>
      <c r="B28" s="51" t="s">
        <v>89</v>
      </c>
      <c r="C28" s="51" t="s">
        <v>68</v>
      </c>
      <c r="D28" s="56">
        <v>300000</v>
      </c>
      <c r="E28" s="56">
        <v>299.66789999999997</v>
      </c>
      <c r="F28" s="57">
        <v>1.3960312120189292E-2</v>
      </c>
      <c r="G28" s="57" t="s">
        <v>66</v>
      </c>
      <c r="H28" s="57"/>
      <c r="I28" s="78" t="s">
        <v>218</v>
      </c>
      <c r="J28" s="32"/>
    </row>
    <row r="29" spans="1:10" x14ac:dyDescent="0.3">
      <c r="A29" s="51" t="s">
        <v>169</v>
      </c>
      <c r="B29" s="51" t="s">
        <v>170</v>
      </c>
      <c r="C29" s="51" t="s">
        <v>68</v>
      </c>
      <c r="D29" s="56">
        <v>250000</v>
      </c>
      <c r="E29" s="56">
        <v>246.07849999999999</v>
      </c>
      <c r="F29" s="57">
        <v>1.1463799312732529E-2</v>
      </c>
      <c r="G29" s="57" t="s">
        <v>171</v>
      </c>
      <c r="H29" s="57"/>
      <c r="I29" s="78" t="s">
        <v>206</v>
      </c>
      <c r="J29" s="32"/>
    </row>
    <row r="30" spans="1:10" x14ac:dyDescent="0.3">
      <c r="A30" s="46"/>
      <c r="B30" s="47" t="s">
        <v>4</v>
      </c>
      <c r="C30" s="46"/>
      <c r="D30" s="58"/>
      <c r="E30" s="59">
        <v>11438.623989999998</v>
      </c>
      <c r="F30" s="60">
        <v>0.53287910091766588</v>
      </c>
      <c r="G30" s="61"/>
      <c r="H30" s="60"/>
      <c r="I30" s="113"/>
      <c r="J30" s="32"/>
    </row>
    <row r="31" spans="1:10" x14ac:dyDescent="0.3">
      <c r="A31" s="62"/>
      <c r="B31" s="47" t="s">
        <v>5</v>
      </c>
      <c r="C31" s="62"/>
      <c r="D31" s="63"/>
      <c r="E31" s="55"/>
      <c r="F31" s="55"/>
      <c r="G31" s="61"/>
      <c r="H31" s="60"/>
      <c r="I31" s="113"/>
      <c r="J31" s="32"/>
    </row>
    <row r="32" spans="1:10" x14ac:dyDescent="0.3">
      <c r="A32" s="64"/>
      <c r="B32" s="47" t="s">
        <v>4</v>
      </c>
      <c r="C32" s="64"/>
      <c r="D32" s="64"/>
      <c r="E32" s="55" t="s">
        <v>6</v>
      </c>
      <c r="F32" s="55" t="s">
        <v>6</v>
      </c>
      <c r="G32" s="65"/>
      <c r="H32" s="64"/>
      <c r="I32" s="113"/>
      <c r="J32" s="32"/>
    </row>
    <row r="33" spans="1:10" x14ac:dyDescent="0.3">
      <c r="A33" s="64"/>
      <c r="B33" s="47" t="s">
        <v>7</v>
      </c>
      <c r="C33" s="64"/>
      <c r="D33" s="65"/>
      <c r="E33" s="55" t="s">
        <v>6</v>
      </c>
      <c r="F33" s="55" t="s">
        <v>6</v>
      </c>
      <c r="G33" s="66"/>
      <c r="H33" s="66"/>
      <c r="I33" s="113"/>
      <c r="J33" s="32"/>
    </row>
    <row r="34" spans="1:10" x14ac:dyDescent="0.3">
      <c r="A34" s="62"/>
      <c r="B34" s="47" t="s">
        <v>4</v>
      </c>
      <c r="C34" s="62"/>
      <c r="D34" s="63"/>
      <c r="E34" s="59" t="s">
        <v>6</v>
      </c>
      <c r="F34" s="60" t="s">
        <v>6</v>
      </c>
      <c r="G34" s="67"/>
      <c r="H34" s="68"/>
      <c r="I34" s="113"/>
      <c r="J34" s="32"/>
    </row>
    <row r="35" spans="1:10" x14ac:dyDescent="0.3">
      <c r="A35" s="62"/>
      <c r="B35" s="47" t="s">
        <v>8</v>
      </c>
      <c r="C35" s="62"/>
      <c r="D35" s="63"/>
      <c r="E35" s="55" t="s">
        <v>6</v>
      </c>
      <c r="F35" s="55" t="s">
        <v>6</v>
      </c>
      <c r="G35" s="67"/>
      <c r="H35" s="68"/>
      <c r="I35" s="113"/>
      <c r="J35" s="32"/>
    </row>
    <row r="36" spans="1:10" x14ac:dyDescent="0.3">
      <c r="A36" s="62"/>
      <c r="B36" s="47" t="s">
        <v>4</v>
      </c>
      <c r="C36" s="62"/>
      <c r="D36" s="63"/>
      <c r="E36" s="55" t="s">
        <v>6</v>
      </c>
      <c r="F36" s="55" t="s">
        <v>6</v>
      </c>
      <c r="G36" s="61"/>
      <c r="H36" s="60"/>
      <c r="I36" s="113"/>
      <c r="J36" s="32"/>
    </row>
    <row r="37" spans="1:10" x14ac:dyDescent="0.3">
      <c r="A37" s="62"/>
      <c r="B37" s="69" t="s">
        <v>10</v>
      </c>
      <c r="C37" s="62"/>
      <c r="D37" s="63"/>
      <c r="E37" s="59">
        <v>11438.623989999998</v>
      </c>
      <c r="F37" s="60">
        <v>0.53287910091766588</v>
      </c>
      <c r="G37" s="61"/>
      <c r="H37" s="60"/>
      <c r="I37" s="113"/>
      <c r="J37" s="32"/>
    </row>
    <row r="38" spans="1:10" x14ac:dyDescent="0.3">
      <c r="A38" s="64"/>
      <c r="B38" s="64"/>
      <c r="C38" s="64"/>
      <c r="D38" s="70"/>
      <c r="E38" s="70"/>
      <c r="F38" s="71"/>
      <c r="G38" s="66"/>
      <c r="H38" s="66"/>
      <c r="I38" s="113"/>
      <c r="J38" s="32"/>
    </row>
    <row r="39" spans="1:10" x14ac:dyDescent="0.3">
      <c r="A39" s="62"/>
      <c r="B39" s="47" t="s">
        <v>11</v>
      </c>
      <c r="C39" s="62"/>
      <c r="D39" s="63"/>
      <c r="E39" s="72"/>
      <c r="F39" s="54"/>
      <c r="G39" s="61"/>
      <c r="H39" s="60"/>
      <c r="I39" s="113"/>
      <c r="J39" s="32"/>
    </row>
    <row r="40" spans="1:10" x14ac:dyDescent="0.3">
      <c r="A40" s="62"/>
      <c r="B40" s="47" t="s">
        <v>12</v>
      </c>
      <c r="C40" s="62"/>
      <c r="D40" s="63"/>
      <c r="E40" s="72"/>
      <c r="F40" s="54"/>
      <c r="G40" s="61"/>
      <c r="H40" s="60"/>
      <c r="I40" s="113"/>
      <c r="J40" s="32"/>
    </row>
    <row r="41" spans="1:10" x14ac:dyDescent="0.3">
      <c r="A41" s="51" t="s">
        <v>186</v>
      </c>
      <c r="B41" s="51" t="s">
        <v>187</v>
      </c>
      <c r="C41" s="51" t="s">
        <v>9</v>
      </c>
      <c r="D41" s="56">
        <v>500000</v>
      </c>
      <c r="E41" s="56">
        <v>492.35050000000001</v>
      </c>
      <c r="F41" s="57">
        <v>2.2936613005701503E-2</v>
      </c>
      <c r="G41" s="61" t="s">
        <v>188</v>
      </c>
      <c r="H41" s="60"/>
      <c r="I41" s="78">
        <v>5.2999999999999999E-2</v>
      </c>
      <c r="J41" s="32"/>
    </row>
    <row r="42" spans="1:10" x14ac:dyDescent="0.3">
      <c r="A42" s="46" t="s">
        <v>189</v>
      </c>
      <c r="B42" s="51" t="s">
        <v>190</v>
      </c>
      <c r="C42" s="46" t="s">
        <v>9</v>
      </c>
      <c r="D42" s="58">
        <v>500000</v>
      </c>
      <c r="E42" s="75">
        <v>491.858</v>
      </c>
      <c r="F42" s="57">
        <v>2.2913669428097101E-2</v>
      </c>
      <c r="G42" s="61" t="s">
        <v>191</v>
      </c>
      <c r="H42" s="60"/>
      <c r="I42" s="113">
        <v>5.2999999999999999E-2</v>
      </c>
      <c r="J42" s="32"/>
    </row>
    <row r="43" spans="1:10" x14ac:dyDescent="0.3">
      <c r="A43" s="46" t="s">
        <v>183</v>
      </c>
      <c r="B43" s="51" t="s">
        <v>184</v>
      </c>
      <c r="C43" s="46" t="s">
        <v>9</v>
      </c>
      <c r="D43" s="58">
        <v>500000</v>
      </c>
      <c r="E43" s="75">
        <v>489.39600000000002</v>
      </c>
      <c r="F43" s="57">
        <v>2.2798974833047377E-2</v>
      </c>
      <c r="G43" s="61" t="s">
        <v>185</v>
      </c>
      <c r="H43" s="60"/>
      <c r="I43" s="113" t="s">
        <v>219</v>
      </c>
      <c r="J43" s="32"/>
    </row>
    <row r="44" spans="1:10" x14ac:dyDescent="0.3">
      <c r="A44" s="51" t="s">
        <v>123</v>
      </c>
      <c r="B44" s="51" t="s">
        <v>124</v>
      </c>
      <c r="C44" s="51" t="s">
        <v>9</v>
      </c>
      <c r="D44" s="56">
        <v>500000</v>
      </c>
      <c r="E44" s="56">
        <v>485.04899999999998</v>
      </c>
      <c r="F44" s="57">
        <v>2.2596465732851918E-2</v>
      </c>
      <c r="G44" s="61" t="s">
        <v>125</v>
      </c>
      <c r="H44" s="60"/>
      <c r="I44" s="78" t="s">
        <v>220</v>
      </c>
      <c r="J44" s="32"/>
    </row>
    <row r="45" spans="1:10" x14ac:dyDescent="0.3">
      <c r="A45" s="46"/>
      <c r="B45" s="47" t="s">
        <v>4</v>
      </c>
      <c r="C45" s="46"/>
      <c r="D45" s="58"/>
      <c r="E45" s="53">
        <v>1958.6534999999999</v>
      </c>
      <c r="F45" s="60">
        <v>9.1245722999697909E-2</v>
      </c>
      <c r="G45" s="73"/>
      <c r="H45" s="74"/>
      <c r="I45" s="113"/>
      <c r="J45" s="32"/>
    </row>
    <row r="46" spans="1:10" x14ac:dyDescent="0.3">
      <c r="A46" s="62"/>
      <c r="B46" s="47" t="s">
        <v>112</v>
      </c>
      <c r="C46" s="62"/>
      <c r="D46" s="63"/>
      <c r="E46" s="72"/>
      <c r="F46" s="54"/>
      <c r="G46" s="61"/>
      <c r="H46" s="60"/>
      <c r="I46" s="113"/>
      <c r="J46" s="32"/>
    </row>
    <row r="47" spans="1:10" x14ac:dyDescent="0.3">
      <c r="A47" s="51" t="s">
        <v>108</v>
      </c>
      <c r="B47" s="51" t="s">
        <v>109</v>
      </c>
      <c r="C47" s="51" t="s">
        <v>110</v>
      </c>
      <c r="D47" s="56">
        <v>500000</v>
      </c>
      <c r="E47" s="56">
        <v>486.83100000000002</v>
      </c>
      <c r="F47" s="57">
        <v>2.2679481885727076E-2</v>
      </c>
      <c r="G47" s="61" t="s">
        <v>111</v>
      </c>
      <c r="H47" s="60"/>
      <c r="I47" s="78" t="s">
        <v>221</v>
      </c>
      <c r="J47" s="32"/>
    </row>
    <row r="48" spans="1:10" x14ac:dyDescent="0.3">
      <c r="A48" s="46"/>
      <c r="B48" s="47" t="s">
        <v>4</v>
      </c>
      <c r="C48" s="46"/>
      <c r="D48" s="58"/>
      <c r="E48" s="53">
        <v>486.83100000000002</v>
      </c>
      <c r="F48" s="60">
        <v>2.2679481885727076E-2</v>
      </c>
      <c r="G48" s="73"/>
      <c r="H48" s="74"/>
      <c r="I48" s="113"/>
      <c r="J48" s="32"/>
    </row>
    <row r="49" spans="1:10" x14ac:dyDescent="0.3">
      <c r="A49" s="62"/>
      <c r="B49" s="47" t="s">
        <v>13</v>
      </c>
      <c r="C49" s="62"/>
      <c r="D49" s="63"/>
      <c r="E49" s="72"/>
      <c r="F49" s="54"/>
      <c r="G49" s="61"/>
      <c r="H49" s="60"/>
      <c r="I49" s="113"/>
      <c r="J49" s="32"/>
    </row>
    <row r="50" spans="1:10" x14ac:dyDescent="0.3">
      <c r="A50" s="46" t="s">
        <v>126</v>
      </c>
      <c r="B50" s="51" t="s">
        <v>172</v>
      </c>
      <c r="C50" s="46" t="s">
        <v>110</v>
      </c>
      <c r="D50" s="58">
        <v>1700000</v>
      </c>
      <c r="E50" s="75">
        <v>1644.0563999999999</v>
      </c>
      <c r="F50" s="57">
        <v>7.658991999875453E-2</v>
      </c>
      <c r="G50" s="61" t="s">
        <v>127</v>
      </c>
      <c r="H50" s="61"/>
      <c r="I50" s="78" t="s">
        <v>229</v>
      </c>
      <c r="J50" s="32"/>
    </row>
    <row r="51" spans="1:10" x14ac:dyDescent="0.3">
      <c r="A51" s="46" t="s">
        <v>196</v>
      </c>
      <c r="B51" s="51" t="s">
        <v>197</v>
      </c>
      <c r="C51" s="46" t="s">
        <v>198</v>
      </c>
      <c r="D51" s="58">
        <v>1700000</v>
      </c>
      <c r="E51" s="75">
        <v>1640.4303</v>
      </c>
      <c r="F51" s="57">
        <v>7.6420994705858572E-2</v>
      </c>
      <c r="G51" s="61" t="s">
        <v>199</v>
      </c>
      <c r="H51" s="61"/>
      <c r="I51" s="78" t="s">
        <v>182</v>
      </c>
      <c r="J51" s="32"/>
    </row>
    <row r="52" spans="1:10" x14ac:dyDescent="0.3">
      <c r="A52" s="46" t="s">
        <v>193</v>
      </c>
      <c r="B52" s="51" t="s">
        <v>194</v>
      </c>
      <c r="C52" s="46" t="s">
        <v>14</v>
      </c>
      <c r="D52" s="58">
        <v>1550000</v>
      </c>
      <c r="E52" s="75">
        <v>1523.6406999999999</v>
      </c>
      <c r="F52" s="57">
        <v>7.0980240896751687E-2</v>
      </c>
      <c r="G52" s="61" t="s">
        <v>195</v>
      </c>
      <c r="H52" s="61"/>
      <c r="I52" s="78" t="s">
        <v>223</v>
      </c>
      <c r="J52" s="32"/>
    </row>
    <row r="53" spans="1:10" x14ac:dyDescent="0.3">
      <c r="A53" s="46" t="s">
        <v>128</v>
      </c>
      <c r="B53" s="51" t="s">
        <v>179</v>
      </c>
      <c r="C53" s="46" t="s">
        <v>14</v>
      </c>
      <c r="D53" s="58">
        <v>700000</v>
      </c>
      <c r="E53" s="75">
        <v>676.71100000000001</v>
      </c>
      <c r="F53" s="57">
        <v>3.1525221003535629E-2</v>
      </c>
      <c r="G53" s="61" t="s">
        <v>129</v>
      </c>
      <c r="H53" s="61"/>
      <c r="I53" s="78" t="s">
        <v>222</v>
      </c>
      <c r="J53" s="32"/>
    </row>
    <row r="54" spans="1:10" x14ac:dyDescent="0.3">
      <c r="A54" s="51" t="s">
        <v>224</v>
      </c>
      <c r="B54" s="51" t="s">
        <v>225</v>
      </c>
      <c r="C54" s="51" t="s">
        <v>14</v>
      </c>
      <c r="D54" s="56">
        <v>500000</v>
      </c>
      <c r="E54" s="56">
        <v>500</v>
      </c>
      <c r="F54" s="57">
        <v>2.3292972187193374E-2</v>
      </c>
      <c r="G54" s="61" t="s">
        <v>226</v>
      </c>
      <c r="H54" s="61"/>
      <c r="I54" s="78" t="s">
        <v>227</v>
      </c>
      <c r="J54" s="32"/>
    </row>
    <row r="55" spans="1:10" x14ac:dyDescent="0.3">
      <c r="A55" s="51" t="s">
        <v>173</v>
      </c>
      <c r="B55" s="51" t="s">
        <v>178</v>
      </c>
      <c r="C55" s="51" t="s">
        <v>14</v>
      </c>
      <c r="D55" s="56">
        <v>350000</v>
      </c>
      <c r="E55" s="56">
        <v>345.70654999999999</v>
      </c>
      <c r="F55" s="57">
        <v>1.6105066108161151E-2</v>
      </c>
      <c r="G55" s="61" t="s">
        <v>174</v>
      </c>
      <c r="H55" s="61"/>
      <c r="I55" s="78" t="s">
        <v>228</v>
      </c>
      <c r="J55" s="32"/>
    </row>
    <row r="56" spans="1:10" x14ac:dyDescent="0.3">
      <c r="A56" s="46"/>
      <c r="B56" s="47" t="s">
        <v>4</v>
      </c>
      <c r="C56" s="46"/>
      <c r="D56" s="58"/>
      <c r="E56" s="53">
        <v>6330.5449499999995</v>
      </c>
      <c r="F56" s="60">
        <v>0.29491441490025494</v>
      </c>
      <c r="G56" s="73"/>
      <c r="H56" s="74"/>
      <c r="I56" s="113"/>
      <c r="J56" s="32"/>
    </row>
    <row r="57" spans="1:10" x14ac:dyDescent="0.3">
      <c r="A57" s="62"/>
      <c r="B57" s="62" t="s">
        <v>10</v>
      </c>
      <c r="C57" s="62"/>
      <c r="D57" s="63"/>
      <c r="E57" s="53">
        <f>E56+E48+E45</f>
        <v>8776.02945</v>
      </c>
      <c r="F57" s="76">
        <f>F56+F48+F45</f>
        <v>0.40883961978567995</v>
      </c>
      <c r="G57" s="61"/>
      <c r="H57" s="60"/>
      <c r="I57" s="113"/>
      <c r="J57" s="32"/>
    </row>
    <row r="58" spans="1:10" x14ac:dyDescent="0.3">
      <c r="A58" s="62"/>
      <c r="B58" s="62"/>
      <c r="C58" s="62"/>
      <c r="D58" s="63"/>
      <c r="E58" s="63"/>
      <c r="F58" s="54"/>
      <c r="G58" s="61"/>
      <c r="H58" s="60"/>
      <c r="I58" s="113"/>
      <c r="J58" s="32"/>
    </row>
    <row r="59" spans="1:10" x14ac:dyDescent="0.3">
      <c r="A59" s="62"/>
      <c r="B59" s="62" t="s">
        <v>105</v>
      </c>
      <c r="C59" s="62"/>
      <c r="D59" s="63"/>
      <c r="E59" s="63"/>
      <c r="F59" s="54"/>
      <c r="G59" s="61"/>
      <c r="H59" s="60"/>
      <c r="I59" s="113"/>
      <c r="J59" s="32"/>
    </row>
    <row r="60" spans="1:10" x14ac:dyDescent="0.3">
      <c r="A60" s="46" t="s">
        <v>15</v>
      </c>
      <c r="B60" s="77" t="s">
        <v>130</v>
      </c>
      <c r="C60" s="62"/>
      <c r="D60" s="56">
        <v>613.101</v>
      </c>
      <c r="E60" s="56">
        <v>73.392038700000001</v>
      </c>
      <c r="F60" s="57">
        <v>3.4190374324010397E-3</v>
      </c>
      <c r="G60" s="61"/>
      <c r="H60" s="60"/>
      <c r="I60" s="78">
        <v>5.6000000000000001E-2</v>
      </c>
      <c r="J60" s="32"/>
    </row>
    <row r="61" spans="1:10" x14ac:dyDescent="0.3">
      <c r="A61" s="62"/>
      <c r="B61" s="62" t="s">
        <v>10</v>
      </c>
      <c r="C61" s="62"/>
      <c r="D61" s="64"/>
      <c r="E61" s="59">
        <v>73.392038700000001</v>
      </c>
      <c r="F61" s="60">
        <v>3.4190374324010397E-3</v>
      </c>
      <c r="G61" s="61"/>
      <c r="H61" s="60"/>
      <c r="I61" s="113"/>
      <c r="J61" s="32"/>
    </row>
    <row r="62" spans="1:10" x14ac:dyDescent="0.3">
      <c r="A62" s="62"/>
      <c r="B62" s="62"/>
      <c r="C62" s="62"/>
      <c r="D62" s="63"/>
      <c r="E62" s="63"/>
      <c r="F62" s="54"/>
      <c r="G62" s="61"/>
      <c r="H62" s="60"/>
      <c r="I62" s="113"/>
      <c r="J62" s="32"/>
    </row>
    <row r="63" spans="1:10" x14ac:dyDescent="0.3">
      <c r="A63" s="62"/>
      <c r="B63" s="79" t="s">
        <v>16</v>
      </c>
      <c r="C63" s="62"/>
      <c r="D63" s="63"/>
      <c r="E63" s="63"/>
      <c r="F63" s="54"/>
      <c r="G63" s="61"/>
      <c r="H63" s="60"/>
      <c r="I63" s="113"/>
      <c r="J63" s="32"/>
    </row>
    <row r="64" spans="1:10" x14ac:dyDescent="0.3">
      <c r="A64" s="51"/>
      <c r="B64" s="51" t="s">
        <v>17</v>
      </c>
      <c r="C64" s="51"/>
      <c r="D64" s="56">
        <v>6552.4602999999997</v>
      </c>
      <c r="E64" s="56">
        <v>655.24603000000002</v>
      </c>
      <c r="F64" s="57">
        <v>3.0525255105117752E-2</v>
      </c>
      <c r="G64" s="61" t="s">
        <v>226</v>
      </c>
      <c r="H64" s="60"/>
      <c r="I64" s="78">
        <v>4.9384659999999997E-2</v>
      </c>
      <c r="J64" s="32"/>
    </row>
    <row r="65" spans="1:10" x14ac:dyDescent="0.3">
      <c r="A65" s="62"/>
      <c r="B65" s="79" t="s">
        <v>10</v>
      </c>
      <c r="C65" s="62"/>
      <c r="D65" s="63"/>
      <c r="E65" s="53">
        <v>655.24603000000002</v>
      </c>
      <c r="F65" s="60">
        <v>3.0525255105117752E-2</v>
      </c>
      <c r="G65" s="61"/>
      <c r="H65" s="60"/>
      <c r="I65" s="109"/>
      <c r="J65" s="32"/>
    </row>
    <row r="66" spans="1:10" x14ac:dyDescent="0.3">
      <c r="A66" s="62"/>
      <c r="B66" s="79"/>
      <c r="C66" s="62"/>
      <c r="D66" s="63"/>
      <c r="E66" s="63"/>
      <c r="F66" s="54"/>
      <c r="G66" s="61"/>
      <c r="H66" s="60"/>
      <c r="I66" s="109"/>
      <c r="J66" s="32"/>
    </row>
    <row r="67" spans="1:10" x14ac:dyDescent="0.3">
      <c r="A67" s="62"/>
      <c r="B67" s="79" t="s">
        <v>18</v>
      </c>
      <c r="C67" s="62"/>
      <c r="D67" s="63"/>
      <c r="E67" s="63"/>
      <c r="F67" s="54"/>
      <c r="G67" s="61"/>
      <c r="H67" s="60"/>
      <c r="I67" s="109"/>
      <c r="J67" s="32"/>
    </row>
    <row r="68" spans="1:10" x14ac:dyDescent="0.3">
      <c r="A68" s="46"/>
      <c r="B68" s="79" t="s">
        <v>19</v>
      </c>
      <c r="C68" s="46"/>
      <c r="D68" s="58"/>
      <c r="E68" s="58">
        <v>522.41050570000004</v>
      </c>
      <c r="F68" s="57">
        <v>2.433698675913545E-2</v>
      </c>
      <c r="G68" s="61"/>
      <c r="H68" s="61"/>
      <c r="I68" s="109"/>
      <c r="J68" s="32"/>
    </row>
    <row r="69" spans="1:10" x14ac:dyDescent="0.3">
      <c r="A69" s="62"/>
      <c r="B69" s="79" t="s">
        <v>10</v>
      </c>
      <c r="C69" s="62"/>
      <c r="D69" s="63"/>
      <c r="E69" s="63">
        <v>522.41050570000004</v>
      </c>
      <c r="F69" s="60">
        <v>2.433698675913545E-2</v>
      </c>
      <c r="G69" s="80"/>
      <c r="H69" s="81"/>
      <c r="I69" s="109"/>
      <c r="J69" s="32"/>
    </row>
    <row r="70" spans="1:10" x14ac:dyDescent="0.3">
      <c r="A70" s="82"/>
      <c r="B70" s="79" t="s">
        <v>20</v>
      </c>
      <c r="C70" s="82"/>
      <c r="D70" s="82"/>
      <c r="E70" s="63">
        <f>E69+E65+E61+E57+E37</f>
        <v>21465.702014399998</v>
      </c>
      <c r="F70" s="83">
        <f>F69+F65+F61+F57+F37</f>
        <v>1</v>
      </c>
      <c r="G70" s="84"/>
      <c r="H70" s="82"/>
      <c r="I70" s="109"/>
      <c r="J70" s="32"/>
    </row>
    <row r="71" spans="1:10" x14ac:dyDescent="0.3">
      <c r="A71" s="85"/>
      <c r="B71" s="35"/>
      <c r="C71" s="85"/>
      <c r="D71" s="85"/>
      <c r="E71" s="86"/>
      <c r="F71" s="87"/>
      <c r="G71" s="88"/>
      <c r="H71" s="85"/>
      <c r="I71" s="110"/>
    </row>
    <row r="72" spans="1:10" x14ac:dyDescent="0.3">
      <c r="A72" s="36" t="s">
        <v>59</v>
      </c>
      <c r="B72" s="6"/>
      <c r="C72" s="3"/>
      <c r="D72" s="4"/>
      <c r="E72" s="4"/>
      <c r="F72" s="7"/>
      <c r="G72" s="8"/>
      <c r="H72" s="8"/>
      <c r="I72" s="111"/>
    </row>
    <row r="73" spans="1:10" x14ac:dyDescent="0.3">
      <c r="A73" s="36"/>
      <c r="B73" s="6"/>
      <c r="C73" s="3"/>
      <c r="D73" s="4"/>
      <c r="E73" s="4"/>
      <c r="F73" s="7"/>
      <c r="G73" s="8"/>
      <c r="H73" s="8"/>
      <c r="I73" s="111"/>
    </row>
    <row r="74" spans="1:10" x14ac:dyDescent="0.3">
      <c r="A74" s="36" t="s">
        <v>60</v>
      </c>
      <c r="B74" s="6"/>
      <c r="C74" s="3"/>
      <c r="D74" s="4"/>
      <c r="E74" s="4"/>
      <c r="F74" s="7"/>
      <c r="G74" s="8"/>
      <c r="H74" s="8"/>
      <c r="I74" s="111"/>
    </row>
    <row r="75" spans="1:10" x14ac:dyDescent="0.3">
      <c r="A75" s="5"/>
      <c r="B75" s="6"/>
      <c r="C75" s="3"/>
      <c r="D75" s="4"/>
      <c r="E75" s="4"/>
      <c r="F75" s="7"/>
      <c r="G75" s="8"/>
      <c r="H75" s="8"/>
      <c r="I75" s="111"/>
    </row>
    <row r="76" spans="1:10" x14ac:dyDescent="0.3">
      <c r="A76" s="9" t="s">
        <v>200</v>
      </c>
      <c r="B76" s="6"/>
      <c r="C76" s="3"/>
      <c r="D76" s="4"/>
      <c r="E76" s="4"/>
      <c r="F76" s="7"/>
      <c r="G76" s="8"/>
      <c r="H76" s="8"/>
      <c r="I76" s="111"/>
    </row>
    <row r="77" spans="1:10" x14ac:dyDescent="0.3">
      <c r="A77" s="9"/>
      <c r="B77" s="6"/>
      <c r="C77" s="3"/>
      <c r="D77" s="4"/>
      <c r="E77" s="4"/>
      <c r="F77" s="7"/>
      <c r="G77" s="8"/>
      <c r="H77" s="8"/>
      <c r="I77" s="111"/>
    </row>
    <row r="78" spans="1:10" x14ac:dyDescent="0.3">
      <c r="A78" s="92" t="s">
        <v>131</v>
      </c>
      <c r="B78" s="93"/>
      <c r="C78" s="94"/>
      <c r="D78" s="95"/>
      <c r="E78" s="13"/>
      <c r="F78" s="13"/>
      <c r="G78" s="96"/>
      <c r="H78" s="96"/>
      <c r="I78" s="111"/>
    </row>
    <row r="79" spans="1:10" x14ac:dyDescent="0.3">
      <c r="A79" s="33"/>
      <c r="B79" s="97"/>
      <c r="C79" s="98" t="s">
        <v>132</v>
      </c>
      <c r="D79" s="98" t="s">
        <v>132</v>
      </c>
      <c r="E79" s="13"/>
      <c r="F79" s="13"/>
      <c r="G79" s="96"/>
      <c r="H79" s="96"/>
      <c r="I79" s="111"/>
    </row>
    <row r="80" spans="1:10" x14ac:dyDescent="0.3">
      <c r="A80" s="92" t="s">
        <v>133</v>
      </c>
      <c r="B80" s="97"/>
      <c r="C80" s="99">
        <v>46265</v>
      </c>
      <c r="D80" s="99">
        <v>46234</v>
      </c>
      <c r="E80" s="13"/>
      <c r="F80" s="13"/>
      <c r="G80" s="96"/>
      <c r="H80" s="96"/>
      <c r="I80" s="111"/>
    </row>
    <row r="81" spans="1:9" x14ac:dyDescent="0.3">
      <c r="A81" s="33" t="s">
        <v>134</v>
      </c>
      <c r="B81" s="97" t="s">
        <v>135</v>
      </c>
      <c r="C81" s="100">
        <v>10.82</v>
      </c>
      <c r="D81" s="100">
        <v>10.82</v>
      </c>
      <c r="E81" s="101"/>
      <c r="F81" s="13"/>
      <c r="G81" s="96"/>
      <c r="H81" s="96"/>
      <c r="I81" s="111"/>
    </row>
    <row r="82" spans="1:9" x14ac:dyDescent="0.3">
      <c r="A82" s="33" t="s">
        <v>136</v>
      </c>
      <c r="B82" s="97" t="s">
        <v>135</v>
      </c>
      <c r="C82" s="100">
        <v>39.628700000000002</v>
      </c>
      <c r="D82" s="100">
        <v>39.452599999999997</v>
      </c>
      <c r="E82" s="101"/>
      <c r="F82" s="13"/>
      <c r="G82" s="96"/>
      <c r="H82" s="96"/>
      <c r="I82" s="111"/>
    </row>
    <row r="83" spans="1:9" x14ac:dyDescent="0.3">
      <c r="A83" s="33" t="s">
        <v>137</v>
      </c>
      <c r="B83" s="97" t="s">
        <v>135</v>
      </c>
      <c r="C83" s="100">
        <v>11.4176</v>
      </c>
      <c r="D83" s="100">
        <v>11.4131</v>
      </c>
      <c r="E83" s="101"/>
      <c r="F83" s="13"/>
      <c r="G83" s="96"/>
      <c r="H83" s="96"/>
      <c r="I83" s="111"/>
    </row>
    <row r="84" spans="1:9" x14ac:dyDescent="0.3">
      <c r="A84" s="33" t="s">
        <v>138</v>
      </c>
      <c r="B84" s="97" t="s">
        <v>135</v>
      </c>
      <c r="C84" s="100">
        <v>11.087400000000001</v>
      </c>
      <c r="D84" s="100">
        <v>11.083</v>
      </c>
      <c r="E84" s="101"/>
      <c r="F84" s="13"/>
      <c r="G84" s="96"/>
      <c r="H84" s="96"/>
      <c r="I84" s="111"/>
    </row>
    <row r="85" spans="1:9" x14ac:dyDescent="0.3">
      <c r="A85" s="33" t="s">
        <v>139</v>
      </c>
      <c r="B85" s="97" t="s">
        <v>135</v>
      </c>
      <c r="C85" s="100">
        <v>23.875299999999999</v>
      </c>
      <c r="D85" s="100">
        <v>23.769300000000001</v>
      </c>
      <c r="E85" s="101"/>
      <c r="F85" s="13"/>
      <c r="G85" s="96"/>
      <c r="H85" s="96"/>
      <c r="I85" s="111"/>
    </row>
    <row r="86" spans="1:9" x14ac:dyDescent="0.3">
      <c r="A86" s="33" t="s">
        <v>140</v>
      </c>
      <c r="B86" s="97" t="s">
        <v>135</v>
      </c>
      <c r="C86" s="100">
        <v>10.85</v>
      </c>
      <c r="D86" s="100">
        <v>10.85</v>
      </c>
      <c r="E86" s="101"/>
      <c r="F86" s="13"/>
      <c r="G86" s="96"/>
      <c r="H86" s="96"/>
      <c r="I86" s="111"/>
    </row>
    <row r="87" spans="1:9" x14ac:dyDescent="0.3">
      <c r="A87" s="33" t="s">
        <v>141</v>
      </c>
      <c r="B87" s="97" t="s">
        <v>135</v>
      </c>
      <c r="C87" s="100">
        <v>40.939700000000002</v>
      </c>
      <c r="D87" s="100">
        <v>40.7423</v>
      </c>
      <c r="E87" s="101"/>
      <c r="F87" s="13"/>
      <c r="G87" s="96"/>
      <c r="H87" s="96"/>
      <c r="I87" s="111"/>
    </row>
    <row r="88" spans="1:9" x14ac:dyDescent="0.3">
      <c r="A88" s="33" t="s">
        <v>142</v>
      </c>
      <c r="B88" s="97" t="s">
        <v>135</v>
      </c>
      <c r="C88" s="100">
        <v>11.458500000000001</v>
      </c>
      <c r="D88" s="100">
        <v>11.4536</v>
      </c>
      <c r="E88" s="101"/>
      <c r="F88" s="13"/>
      <c r="G88" s="96"/>
      <c r="H88" s="96"/>
      <c r="I88" s="111"/>
    </row>
    <row r="89" spans="1:9" x14ac:dyDescent="0.3">
      <c r="A89" s="33" t="s">
        <v>143</v>
      </c>
      <c r="B89" s="97" t="s">
        <v>135</v>
      </c>
      <c r="C89" s="100">
        <v>11.128299999999999</v>
      </c>
      <c r="D89" s="100">
        <v>11.1235</v>
      </c>
      <c r="E89" s="101"/>
      <c r="F89" s="13"/>
      <c r="G89" s="96"/>
      <c r="H89" s="96"/>
      <c r="I89" s="111"/>
    </row>
    <row r="90" spans="1:9" x14ac:dyDescent="0.3">
      <c r="A90" s="33" t="s">
        <v>144</v>
      </c>
      <c r="B90" s="97" t="s">
        <v>135</v>
      </c>
      <c r="C90" s="100">
        <v>24.649699999999999</v>
      </c>
      <c r="D90" s="100">
        <v>24.530799999999999</v>
      </c>
      <c r="E90" s="101"/>
      <c r="F90" s="13"/>
      <c r="G90" s="96"/>
      <c r="H90" s="96"/>
      <c r="I90" s="111"/>
    </row>
    <row r="91" spans="1:9" x14ac:dyDescent="0.3">
      <c r="A91" s="33"/>
      <c r="B91" s="97"/>
      <c r="C91" s="100"/>
      <c r="D91" s="100"/>
      <c r="E91" s="101"/>
      <c r="F91" s="13"/>
      <c r="G91" s="96"/>
      <c r="H91" s="96"/>
      <c r="I91" s="111"/>
    </row>
    <row r="92" spans="1:9" x14ac:dyDescent="0.3">
      <c r="A92" s="33"/>
      <c r="B92" s="97"/>
      <c r="C92" s="102"/>
      <c r="D92" s="33"/>
      <c r="E92" s="13"/>
      <c r="F92" s="13"/>
      <c r="G92" s="96"/>
      <c r="H92" s="96"/>
      <c r="I92" s="111"/>
    </row>
    <row r="93" spans="1:9" ht="66" customHeight="1" x14ac:dyDescent="0.3">
      <c r="A93" s="125" t="s">
        <v>145</v>
      </c>
      <c r="B93" s="125"/>
      <c r="C93" s="125"/>
      <c r="D93" s="125"/>
      <c r="E93" s="103"/>
      <c r="F93" s="103"/>
      <c r="G93" s="103"/>
      <c r="H93" s="103"/>
      <c r="I93" s="111"/>
    </row>
    <row r="94" spans="1:9" x14ac:dyDescent="0.3">
      <c r="A94" s="104"/>
      <c r="B94" s="104"/>
      <c r="C94" s="104"/>
      <c r="D94" s="104"/>
      <c r="E94" s="104"/>
      <c r="F94" s="104"/>
      <c r="G94" s="104"/>
      <c r="H94" s="104"/>
      <c r="I94" s="111"/>
    </row>
    <row r="95" spans="1:9" x14ac:dyDescent="0.3">
      <c r="A95" s="92" t="s">
        <v>231</v>
      </c>
      <c r="B95" s="33"/>
      <c r="C95" s="105"/>
      <c r="D95" s="33"/>
      <c r="E95" s="13"/>
      <c r="F95" s="13"/>
      <c r="G95" s="96"/>
      <c r="H95" s="96"/>
      <c r="I95" s="111"/>
    </row>
    <row r="96" spans="1:9" x14ac:dyDescent="0.3">
      <c r="A96" s="33" t="s">
        <v>146</v>
      </c>
      <c r="B96" s="97" t="s">
        <v>147</v>
      </c>
      <c r="C96" s="118">
        <v>4.8178529999999997E-2</v>
      </c>
      <c r="D96" s="114"/>
      <c r="E96" s="117"/>
      <c r="F96" s="115"/>
      <c r="G96" s="96"/>
      <c r="H96" s="96"/>
      <c r="I96" s="111"/>
    </row>
    <row r="97" spans="1:9" x14ac:dyDescent="0.3">
      <c r="A97" s="33" t="s">
        <v>137</v>
      </c>
      <c r="B97" s="97" t="s">
        <v>147</v>
      </c>
      <c r="C97" s="118">
        <v>4.6300000000000001E-2</v>
      </c>
      <c r="D97" s="114"/>
      <c r="E97" s="117"/>
      <c r="F97" s="115"/>
      <c r="G97" s="96"/>
      <c r="H97" s="96"/>
      <c r="I97" s="111"/>
    </row>
    <row r="98" spans="1:9" x14ac:dyDescent="0.3">
      <c r="A98" s="33" t="s">
        <v>138</v>
      </c>
      <c r="B98" s="97" t="s">
        <v>147</v>
      </c>
      <c r="C98" s="118">
        <v>4.4999999999999998E-2</v>
      </c>
      <c r="D98" s="114"/>
      <c r="E98" s="117"/>
      <c r="F98" s="115"/>
      <c r="G98" s="96"/>
      <c r="H98" s="96"/>
      <c r="I98" s="111"/>
    </row>
    <row r="99" spans="1:9" x14ac:dyDescent="0.3">
      <c r="A99" s="33" t="s">
        <v>140</v>
      </c>
      <c r="B99" s="97" t="s">
        <v>147</v>
      </c>
      <c r="C99" s="118">
        <v>5.2447219999999996E-2</v>
      </c>
      <c r="D99" s="114"/>
      <c r="E99" s="117"/>
      <c r="F99" s="115"/>
      <c r="G99" s="96"/>
      <c r="H99" s="96"/>
      <c r="I99" s="111"/>
    </row>
    <row r="100" spans="1:9" x14ac:dyDescent="0.3">
      <c r="A100" s="33" t="s">
        <v>142</v>
      </c>
      <c r="B100" s="97" t="s">
        <v>147</v>
      </c>
      <c r="C100" s="118">
        <v>5.0500000000000003E-2</v>
      </c>
      <c r="D100" s="114"/>
      <c r="E100" s="117"/>
      <c r="F100" s="115"/>
      <c r="G100" s="96"/>
      <c r="H100" s="96"/>
      <c r="I100" s="111"/>
    </row>
    <row r="101" spans="1:9" x14ac:dyDescent="0.3">
      <c r="A101" s="33" t="s">
        <v>143</v>
      </c>
      <c r="B101" s="97" t="s">
        <v>147</v>
      </c>
      <c r="C101" s="118">
        <v>4.9000000000000002E-2</v>
      </c>
      <c r="D101" s="114"/>
      <c r="E101" s="117"/>
      <c r="F101" s="115"/>
      <c r="G101" s="96"/>
      <c r="H101" s="96"/>
      <c r="I101" s="111"/>
    </row>
    <row r="102" spans="1:9" x14ac:dyDescent="0.3">
      <c r="A102" s="33"/>
      <c r="B102" s="97"/>
      <c r="C102" s="33"/>
      <c r="D102" s="33"/>
      <c r="E102" s="13"/>
      <c r="F102" s="13"/>
      <c r="G102" s="96"/>
      <c r="H102" s="96"/>
      <c r="I102" s="111"/>
    </row>
    <row r="103" spans="1:9" x14ac:dyDescent="0.3">
      <c r="A103" s="33" t="s">
        <v>148</v>
      </c>
      <c r="B103" s="97"/>
      <c r="C103" s="33"/>
      <c r="D103" s="33"/>
      <c r="E103" s="13"/>
      <c r="F103" s="13"/>
      <c r="G103" s="96"/>
      <c r="H103" s="96"/>
      <c r="I103" s="111"/>
    </row>
    <row r="104" spans="1:9" x14ac:dyDescent="0.3">
      <c r="A104" s="33"/>
      <c r="B104" s="33"/>
      <c r="C104" s="33"/>
      <c r="D104" s="33"/>
      <c r="E104" s="13"/>
      <c r="F104" s="13"/>
      <c r="G104" s="96"/>
      <c r="H104" s="96"/>
      <c r="I104" s="111"/>
    </row>
    <row r="105" spans="1:9" x14ac:dyDescent="0.3">
      <c r="A105" s="33" t="s">
        <v>149</v>
      </c>
      <c r="B105" s="33"/>
      <c r="C105" s="33"/>
      <c r="D105" s="33"/>
      <c r="E105" s="13"/>
      <c r="F105" s="13"/>
      <c r="G105" s="96"/>
      <c r="H105" s="96"/>
      <c r="I105" s="111"/>
    </row>
    <row r="106" spans="1:9" x14ac:dyDescent="0.3">
      <c r="A106" s="33"/>
      <c r="B106" s="33"/>
      <c r="C106" s="33"/>
      <c r="D106" s="33"/>
      <c r="E106" s="13"/>
      <c r="F106" s="13"/>
      <c r="G106" s="96"/>
      <c r="H106" s="96"/>
      <c r="I106" s="111"/>
    </row>
    <row r="107" spans="1:9" x14ac:dyDescent="0.3">
      <c r="A107" s="33" t="s">
        <v>150</v>
      </c>
      <c r="B107" s="33"/>
      <c r="C107" s="33"/>
      <c r="D107" s="33"/>
      <c r="E107" s="13"/>
      <c r="F107" s="13"/>
      <c r="G107" s="96"/>
      <c r="H107" s="96"/>
      <c r="I107" s="111"/>
    </row>
    <row r="108" spans="1:9" x14ac:dyDescent="0.3">
      <c r="A108" s="33"/>
      <c r="B108" s="33"/>
      <c r="C108" s="33"/>
      <c r="D108" s="33"/>
      <c r="E108" s="13"/>
      <c r="F108" s="13"/>
      <c r="G108" s="96"/>
      <c r="H108" s="96"/>
      <c r="I108" s="111"/>
    </row>
    <row r="109" spans="1:9" x14ac:dyDescent="0.3">
      <c r="A109" s="33" t="s">
        <v>151</v>
      </c>
      <c r="B109" s="33"/>
      <c r="C109" s="33"/>
      <c r="D109" s="33"/>
      <c r="E109" s="13"/>
      <c r="F109" s="13"/>
      <c r="G109" s="96"/>
      <c r="H109" s="96"/>
      <c r="I109" s="111"/>
    </row>
    <row r="110" spans="1:9" x14ac:dyDescent="0.3">
      <c r="A110" s="33"/>
      <c r="B110" s="33"/>
      <c r="C110" s="33"/>
      <c r="D110" s="33"/>
      <c r="E110" s="13"/>
      <c r="F110" s="13"/>
      <c r="G110" s="96"/>
      <c r="H110" s="96"/>
      <c r="I110" s="111"/>
    </row>
    <row r="111" spans="1:9" x14ac:dyDescent="0.3">
      <c r="A111" s="33" t="s">
        <v>201</v>
      </c>
      <c r="B111" s="33"/>
      <c r="C111" s="33"/>
      <c r="D111" s="33"/>
      <c r="E111" s="13"/>
      <c r="F111" s="13"/>
      <c r="G111" s="96"/>
      <c r="H111" s="96"/>
      <c r="I111" s="111"/>
    </row>
    <row r="112" spans="1:9" x14ac:dyDescent="0.3">
      <c r="A112" s="33"/>
      <c r="B112" s="33"/>
      <c r="C112" s="33"/>
      <c r="D112" s="33"/>
      <c r="E112" s="13"/>
      <c r="F112" s="13"/>
      <c r="G112" s="96"/>
      <c r="H112" s="96"/>
      <c r="I112" s="111"/>
    </row>
    <row r="113" spans="1:9" x14ac:dyDescent="0.3">
      <c r="A113" s="33" t="s">
        <v>152</v>
      </c>
      <c r="B113" s="93"/>
      <c r="C113" s="106"/>
      <c r="D113" s="33"/>
      <c r="E113" s="13"/>
      <c r="F113" s="13"/>
      <c r="G113" s="96"/>
      <c r="H113" s="96"/>
      <c r="I113" s="111"/>
    </row>
    <row r="114" spans="1:9" x14ac:dyDescent="0.3">
      <c r="A114" s="33"/>
      <c r="B114" s="93"/>
      <c r="C114" s="106"/>
      <c r="D114" s="33"/>
      <c r="E114" s="13"/>
      <c r="F114" s="13"/>
      <c r="G114" s="96"/>
      <c r="H114" s="96"/>
      <c r="I114" s="111"/>
    </row>
    <row r="115" spans="1:9" x14ac:dyDescent="0.3">
      <c r="A115" s="33" t="s">
        <v>153</v>
      </c>
      <c r="B115" s="93"/>
      <c r="C115" s="106"/>
      <c r="D115" s="33"/>
      <c r="E115" s="13"/>
      <c r="F115" s="13"/>
      <c r="G115" s="96"/>
      <c r="H115" s="96"/>
      <c r="I115" s="111"/>
    </row>
    <row r="116" spans="1:9" x14ac:dyDescent="0.3">
      <c r="A116" s="33"/>
      <c r="B116" s="93"/>
      <c r="C116" s="107"/>
      <c r="D116" s="33"/>
      <c r="E116" s="13"/>
      <c r="F116" s="13"/>
      <c r="G116" s="96"/>
      <c r="H116" s="96"/>
      <c r="I116" s="111"/>
    </row>
    <row r="117" spans="1:9" x14ac:dyDescent="0.3">
      <c r="A117" s="33" t="s">
        <v>154</v>
      </c>
      <c r="B117" s="93"/>
      <c r="C117" s="107"/>
      <c r="D117" s="33"/>
      <c r="E117" s="13"/>
      <c r="F117" s="13"/>
      <c r="G117" s="96"/>
      <c r="H117" s="96"/>
      <c r="I117" s="111"/>
    </row>
    <row r="118" spans="1:9" x14ac:dyDescent="0.3">
      <c r="A118" s="33"/>
      <c r="B118" s="93"/>
      <c r="C118" s="107"/>
      <c r="D118" s="33"/>
      <c r="E118" s="13"/>
      <c r="F118" s="13"/>
      <c r="G118" s="96"/>
      <c r="H118" s="96"/>
      <c r="I118" s="111"/>
    </row>
    <row r="119" spans="1:9" x14ac:dyDescent="0.3">
      <c r="A119" s="33" t="s">
        <v>155</v>
      </c>
      <c r="B119" s="93"/>
      <c r="C119" s="107"/>
      <c r="D119" s="33"/>
      <c r="E119" s="13"/>
      <c r="F119" s="13"/>
      <c r="G119" s="96"/>
      <c r="H119" s="96"/>
      <c r="I119" s="111"/>
    </row>
    <row r="120" spans="1:9" x14ac:dyDescent="0.3">
      <c r="A120" s="9"/>
      <c r="B120" s="6"/>
      <c r="C120" s="3"/>
      <c r="D120" s="4"/>
      <c r="E120" s="4"/>
      <c r="F120" s="7"/>
      <c r="G120" s="8"/>
      <c r="H120" s="8"/>
      <c r="I120" s="111"/>
    </row>
    <row r="121" spans="1:9" x14ac:dyDescent="0.3">
      <c r="A121" s="126" t="s">
        <v>21</v>
      </c>
      <c r="B121" s="126"/>
      <c r="C121" s="126"/>
      <c r="D121" s="126"/>
      <c r="E121" s="126"/>
      <c r="F121" s="126"/>
      <c r="G121" s="126"/>
      <c r="H121" s="126"/>
      <c r="I121" s="111"/>
    </row>
    <row r="122" spans="1:9" x14ac:dyDescent="0.3">
      <c r="A122" s="127" t="s">
        <v>22</v>
      </c>
      <c r="B122" s="127"/>
      <c r="C122" s="127"/>
      <c r="D122" s="127"/>
      <c r="E122" s="127"/>
      <c r="F122" s="127"/>
      <c r="G122" s="127"/>
      <c r="H122" s="127"/>
      <c r="I122" s="111"/>
    </row>
    <row r="123" spans="1:9" x14ac:dyDescent="0.3">
      <c r="A123" s="126" t="s">
        <v>23</v>
      </c>
      <c r="B123" s="126"/>
      <c r="C123" s="126"/>
      <c r="D123" s="126"/>
      <c r="E123" s="126"/>
      <c r="F123" s="126"/>
      <c r="G123" s="126"/>
      <c r="H123" s="126"/>
      <c r="I123" s="111"/>
    </row>
    <row r="124" spans="1:9" x14ac:dyDescent="0.3">
      <c r="A124" s="139" t="s">
        <v>24</v>
      </c>
      <c r="B124" s="140"/>
      <c r="C124" s="140"/>
      <c r="D124" s="140"/>
      <c r="E124" s="140"/>
      <c r="F124" s="140"/>
      <c r="G124" s="140"/>
      <c r="H124" s="140"/>
      <c r="I124" s="140"/>
    </row>
    <row r="125" spans="1:9" x14ac:dyDescent="0.3">
      <c r="A125" s="10"/>
      <c r="B125" s="10"/>
      <c r="C125" s="10"/>
      <c r="D125" s="10"/>
      <c r="E125" s="10"/>
      <c r="F125" s="10"/>
      <c r="G125" s="10"/>
      <c r="H125" s="10"/>
      <c r="I125" s="111"/>
    </row>
    <row r="126" spans="1:9" x14ac:dyDescent="0.3">
      <c r="A126" s="11" t="s">
        <v>25</v>
      </c>
      <c r="B126" s="12"/>
      <c r="C126" s="12"/>
      <c r="D126" s="12"/>
      <c r="E126" s="8"/>
      <c r="F126" s="8"/>
      <c r="G126" s="8"/>
      <c r="H126" s="8"/>
      <c r="I126" s="111"/>
    </row>
    <row r="127" spans="1:9" x14ac:dyDescent="0.3">
      <c r="A127" s="13" t="s">
        <v>26</v>
      </c>
      <c r="B127" s="12"/>
      <c r="C127" s="12"/>
      <c r="D127" s="12"/>
      <c r="E127" s="8"/>
      <c r="F127" s="8"/>
      <c r="G127" s="8"/>
      <c r="H127" s="8"/>
      <c r="I127" s="111"/>
    </row>
    <row r="128" spans="1:9" x14ac:dyDescent="0.3">
      <c r="A128" s="13" t="s">
        <v>27</v>
      </c>
      <c r="B128" s="12"/>
      <c r="C128" s="12"/>
      <c r="D128" s="12"/>
      <c r="E128" s="8"/>
      <c r="F128" s="8"/>
      <c r="G128" s="8"/>
      <c r="H128" s="8"/>
      <c r="I128" s="111"/>
    </row>
    <row r="129" spans="1:9" x14ac:dyDescent="0.3">
      <c r="A129" s="13" t="s">
        <v>28</v>
      </c>
      <c r="B129" s="12"/>
      <c r="C129" s="12"/>
      <c r="D129" s="12"/>
      <c r="E129" s="8"/>
      <c r="F129" s="8"/>
      <c r="G129" s="8"/>
      <c r="H129" s="8"/>
      <c r="I129" s="111"/>
    </row>
    <row r="130" spans="1:9" x14ac:dyDescent="0.3">
      <c r="A130" s="5"/>
      <c r="B130" s="14"/>
      <c r="C130" s="15"/>
      <c r="D130" s="8"/>
      <c r="E130" s="8"/>
      <c r="F130" s="8"/>
      <c r="G130" s="8"/>
      <c r="H130" s="8"/>
      <c r="I130" s="111"/>
    </row>
    <row r="131" spans="1:9" x14ac:dyDescent="0.3">
      <c r="A131" s="128" t="s">
        <v>29</v>
      </c>
      <c r="B131" s="128"/>
      <c r="C131" s="129" t="s">
        <v>30</v>
      </c>
      <c r="D131" s="129"/>
      <c r="E131" s="129"/>
      <c r="F131" s="129"/>
      <c r="G131" s="129"/>
      <c r="H131" s="8"/>
      <c r="I131" s="111"/>
    </row>
    <row r="132" spans="1:9" x14ac:dyDescent="0.3">
      <c r="A132" s="5"/>
      <c r="B132" s="14"/>
      <c r="C132" s="15"/>
      <c r="D132" s="8"/>
      <c r="E132" s="8"/>
      <c r="F132" s="8"/>
      <c r="G132" s="8"/>
      <c r="H132" s="8"/>
      <c r="I132" s="111"/>
    </row>
    <row r="133" spans="1:9" x14ac:dyDescent="0.3">
      <c r="A133" s="5"/>
      <c r="B133" s="14"/>
      <c r="C133" s="15"/>
      <c r="D133" s="8"/>
      <c r="E133" s="8"/>
      <c r="F133" s="8"/>
      <c r="G133" s="8"/>
      <c r="H133" s="8"/>
      <c r="I133" s="111"/>
    </row>
    <row r="134" spans="1:9" x14ac:dyDescent="0.3">
      <c r="A134" s="5"/>
      <c r="B134" s="14"/>
      <c r="C134" s="15"/>
      <c r="D134" s="8"/>
      <c r="E134" s="8"/>
      <c r="F134" s="8"/>
      <c r="G134" s="8"/>
      <c r="H134" s="8"/>
      <c r="I134" s="111"/>
    </row>
    <row r="135" spans="1:9" x14ac:dyDescent="0.3">
      <c r="A135" s="5"/>
      <c r="B135" s="14"/>
      <c r="C135" s="15"/>
      <c r="D135" s="8"/>
      <c r="E135" s="8"/>
      <c r="F135" s="8"/>
      <c r="G135" s="8"/>
      <c r="H135" s="8"/>
      <c r="I135" s="111"/>
    </row>
    <row r="136" spans="1:9" x14ac:dyDescent="0.3">
      <c r="A136" s="5"/>
      <c r="B136" s="14"/>
      <c r="C136" s="15"/>
      <c r="D136" s="8"/>
      <c r="E136" s="8"/>
      <c r="F136" s="8"/>
      <c r="G136" s="8"/>
      <c r="H136" s="8"/>
      <c r="I136" s="111"/>
    </row>
    <row r="137" spans="1:9" x14ac:dyDescent="0.3">
      <c r="A137" s="5"/>
      <c r="B137" s="14"/>
      <c r="C137" s="15"/>
      <c r="D137" s="8"/>
      <c r="E137" s="8"/>
      <c r="F137" s="8"/>
      <c r="G137" s="8"/>
      <c r="H137" s="8"/>
      <c r="I137" s="111"/>
    </row>
    <row r="138" spans="1:9" x14ac:dyDescent="0.3">
      <c r="A138" s="5"/>
      <c r="B138" s="114"/>
      <c r="C138" s="15"/>
      <c r="D138" s="8"/>
      <c r="E138" s="8"/>
      <c r="F138" s="8"/>
      <c r="G138" s="8"/>
      <c r="H138" s="8"/>
      <c r="I138" s="111"/>
    </row>
    <row r="139" spans="1:9" x14ac:dyDescent="0.3">
      <c r="A139" s="5"/>
      <c r="B139" s="14"/>
      <c r="C139" s="15"/>
      <c r="D139" s="8"/>
      <c r="E139" s="8"/>
      <c r="F139" s="8"/>
      <c r="G139" s="8"/>
      <c r="H139" s="8"/>
      <c r="I139" s="111"/>
    </row>
    <row r="140" spans="1:9" x14ac:dyDescent="0.3">
      <c r="A140" s="5"/>
      <c r="B140" s="14"/>
      <c r="C140" s="15"/>
      <c r="D140" s="8"/>
      <c r="E140" s="8"/>
      <c r="F140" s="8"/>
      <c r="G140" s="8"/>
      <c r="H140" s="8"/>
      <c r="I140" s="111"/>
    </row>
    <row r="141" spans="1:9" x14ac:dyDescent="0.3">
      <c r="A141" s="130" t="s">
        <v>31</v>
      </c>
      <c r="B141" s="130"/>
      <c r="C141" s="130" t="s">
        <v>32</v>
      </c>
      <c r="D141" s="130"/>
      <c r="E141" s="130"/>
      <c r="F141" s="130"/>
      <c r="G141" s="130"/>
      <c r="H141" s="8"/>
      <c r="I141" s="111"/>
    </row>
    <row r="142" spans="1:9" ht="15" thickBot="1" x14ac:dyDescent="0.35">
      <c r="A142" s="34"/>
      <c r="B142" s="34"/>
      <c r="C142" s="34"/>
      <c r="D142" s="34"/>
      <c r="E142" s="34"/>
      <c r="F142" s="34"/>
      <c r="G142" s="34"/>
      <c r="H142" s="8"/>
      <c r="I142" s="111"/>
    </row>
    <row r="143" spans="1:9" ht="15" thickBot="1" x14ac:dyDescent="0.35">
      <c r="A143" s="133" t="s">
        <v>33</v>
      </c>
      <c r="B143" s="134"/>
      <c r="C143" s="134"/>
      <c r="D143" s="135"/>
      <c r="E143" s="8"/>
      <c r="F143" s="8"/>
      <c r="G143" s="8"/>
      <c r="H143" s="8"/>
      <c r="I143" s="111"/>
    </row>
    <row r="144" spans="1:9" ht="15" thickBot="1" x14ac:dyDescent="0.35">
      <c r="A144" s="16" t="s">
        <v>34</v>
      </c>
      <c r="B144" s="119" t="s">
        <v>35</v>
      </c>
      <c r="C144" s="119" t="s">
        <v>36</v>
      </c>
      <c r="D144" s="119" t="s">
        <v>37</v>
      </c>
      <c r="E144" s="8"/>
      <c r="F144" s="8"/>
      <c r="G144" s="8"/>
      <c r="H144" s="8"/>
      <c r="I144" s="111"/>
    </row>
    <row r="145" spans="1:9" ht="15" thickBot="1" x14ac:dyDescent="0.35">
      <c r="A145" s="16" t="s">
        <v>38</v>
      </c>
      <c r="B145" s="120"/>
      <c r="C145" s="120"/>
      <c r="D145" s="120"/>
      <c r="E145" s="8"/>
      <c r="F145" s="8"/>
      <c r="G145" s="8"/>
      <c r="H145" s="8"/>
      <c r="I145" s="111"/>
    </row>
    <row r="146" spans="1:9" ht="15" thickBot="1" x14ac:dyDescent="0.35">
      <c r="A146" s="17" t="s">
        <v>39</v>
      </c>
      <c r="B146" s="18"/>
      <c r="C146" s="18" t="s">
        <v>40</v>
      </c>
      <c r="D146" s="19"/>
      <c r="E146" s="8"/>
      <c r="F146" s="8"/>
      <c r="G146" s="8"/>
      <c r="H146" s="8"/>
      <c r="I146" s="111"/>
    </row>
    <row r="147" spans="1:9" ht="15" thickBot="1" x14ac:dyDescent="0.35">
      <c r="A147" s="17" t="s">
        <v>41</v>
      </c>
      <c r="B147" s="19"/>
      <c r="C147" s="19"/>
      <c r="D147" s="19"/>
      <c r="E147" s="8"/>
      <c r="F147" s="8"/>
      <c r="G147" s="8"/>
      <c r="H147" s="8"/>
      <c r="I147" s="111"/>
    </row>
    <row r="148" spans="1:9" ht="15" thickBot="1" x14ac:dyDescent="0.35">
      <c r="A148" s="17" t="s">
        <v>42</v>
      </c>
      <c r="B148" s="19"/>
      <c r="C148" s="19"/>
      <c r="D148" s="19"/>
      <c r="E148" s="8"/>
      <c r="F148" s="8"/>
      <c r="G148" s="8"/>
      <c r="H148" s="8"/>
      <c r="I148" s="111"/>
    </row>
    <row r="149" spans="1:9" x14ac:dyDescent="0.3">
      <c r="A149" s="9"/>
      <c r="B149" s="14"/>
      <c r="C149" s="15"/>
      <c r="D149" s="8"/>
      <c r="E149" s="8"/>
      <c r="F149" s="8"/>
      <c r="G149" s="8"/>
      <c r="H149" s="8"/>
      <c r="I149" s="111"/>
    </row>
    <row r="150" spans="1:9" x14ac:dyDescent="0.3">
      <c r="A150" s="5"/>
      <c r="B150" s="14"/>
      <c r="C150" s="15"/>
      <c r="D150" s="8"/>
      <c r="E150" s="8"/>
      <c r="F150" s="8"/>
      <c r="G150" s="8"/>
      <c r="H150" s="8"/>
      <c r="I150" s="111"/>
    </row>
    <row r="151" spans="1:9" x14ac:dyDescent="0.3">
      <c r="A151" s="121" t="s">
        <v>43</v>
      </c>
      <c r="B151" s="122"/>
      <c r="C151" s="8"/>
      <c r="D151" s="8"/>
      <c r="E151" s="8"/>
      <c r="F151" s="8"/>
      <c r="G151" s="8"/>
      <c r="H151" s="8"/>
      <c r="I151" s="111"/>
    </row>
    <row r="152" spans="1:9" x14ac:dyDescent="0.3">
      <c r="A152" s="24" t="s">
        <v>44</v>
      </c>
      <c r="B152" s="25" t="s">
        <v>230</v>
      </c>
      <c r="C152" s="8"/>
      <c r="D152" s="8"/>
      <c r="E152" s="8"/>
      <c r="F152" s="8"/>
      <c r="G152" s="8"/>
      <c r="H152" s="8"/>
      <c r="I152" s="111"/>
    </row>
    <row r="153" spans="1:9" x14ac:dyDescent="0.3">
      <c r="A153" s="26" t="s">
        <v>45</v>
      </c>
      <c r="B153" s="28"/>
      <c r="C153" s="20"/>
      <c r="D153" s="8"/>
      <c r="E153" s="8"/>
      <c r="F153" s="8"/>
      <c r="G153" s="8"/>
      <c r="H153" s="8"/>
      <c r="I153" s="111"/>
    </row>
    <row r="154" spans="1:9" x14ac:dyDescent="0.3">
      <c r="A154" s="26"/>
      <c r="B154" s="28"/>
      <c r="C154" s="20"/>
      <c r="D154" s="8"/>
      <c r="E154" s="8"/>
      <c r="F154" s="8"/>
      <c r="G154" s="8"/>
      <c r="H154" s="8"/>
      <c r="I154" s="111"/>
    </row>
    <row r="155" spans="1:9" ht="27" x14ac:dyDescent="0.3">
      <c r="A155" s="26" t="s">
        <v>46</v>
      </c>
      <c r="B155" s="40">
        <v>7.1199999999999999E-2</v>
      </c>
      <c r="C155" s="20"/>
      <c r="D155" s="8"/>
      <c r="E155" s="8"/>
      <c r="F155" s="8"/>
      <c r="G155" s="8"/>
      <c r="H155" s="8"/>
      <c r="I155" s="111"/>
    </row>
    <row r="156" spans="1:9" x14ac:dyDescent="0.3">
      <c r="A156" s="26" t="s">
        <v>47</v>
      </c>
      <c r="B156" s="28"/>
      <c r="C156" s="20"/>
      <c r="D156" s="8"/>
      <c r="E156" s="8"/>
      <c r="F156" s="8"/>
      <c r="G156" s="8"/>
      <c r="H156" s="8"/>
      <c r="I156" s="111"/>
    </row>
    <row r="157" spans="1:9" x14ac:dyDescent="0.3">
      <c r="A157" s="26" t="s">
        <v>48</v>
      </c>
      <c r="B157" s="91">
        <v>0.81</v>
      </c>
      <c r="C157" s="20"/>
      <c r="D157" s="8"/>
      <c r="E157" s="8"/>
      <c r="F157" s="8"/>
      <c r="G157" s="8"/>
      <c r="H157" s="8"/>
      <c r="I157" s="111"/>
    </row>
    <row r="158" spans="1:9" x14ac:dyDescent="0.3">
      <c r="A158" s="26" t="s">
        <v>96</v>
      </c>
      <c r="B158" s="91">
        <v>0.85</v>
      </c>
      <c r="C158" s="20"/>
      <c r="D158" s="8"/>
      <c r="E158" s="8"/>
      <c r="F158" s="8"/>
      <c r="G158" s="8"/>
      <c r="H158" s="8"/>
      <c r="I158" s="111"/>
    </row>
    <row r="159" spans="1:9" x14ac:dyDescent="0.3">
      <c r="A159" s="26" t="s">
        <v>47</v>
      </c>
      <c r="B159" s="27"/>
      <c r="C159" s="20"/>
      <c r="D159" s="8"/>
      <c r="E159" s="8"/>
      <c r="F159" s="8"/>
      <c r="G159" s="8"/>
      <c r="H159" s="8"/>
      <c r="I159" s="111"/>
    </row>
    <row r="160" spans="1:9" x14ac:dyDescent="0.3">
      <c r="A160" s="26" t="s">
        <v>49</v>
      </c>
      <c r="B160" s="29" t="s">
        <v>202</v>
      </c>
      <c r="C160" s="20"/>
      <c r="D160" s="8"/>
      <c r="E160" s="8"/>
      <c r="F160" s="8"/>
      <c r="G160" s="8"/>
      <c r="H160" s="8"/>
      <c r="I160" s="111"/>
    </row>
    <row r="161" spans="1:9" ht="27" x14ac:dyDescent="0.3">
      <c r="A161" s="26" t="s">
        <v>50</v>
      </c>
      <c r="B161" s="27"/>
      <c r="C161" s="20"/>
      <c r="D161" s="8"/>
      <c r="E161" s="8"/>
      <c r="F161" s="8"/>
      <c r="G161" s="8"/>
      <c r="H161" s="8"/>
      <c r="I161" s="111"/>
    </row>
    <row r="162" spans="1:9" x14ac:dyDescent="0.3">
      <c r="A162" s="37"/>
      <c r="B162" s="38"/>
      <c r="C162" s="15"/>
      <c r="D162" s="33"/>
      <c r="E162" s="33"/>
      <c r="F162" s="33"/>
      <c r="G162" s="33"/>
      <c r="H162" s="33"/>
      <c r="I162" s="111"/>
    </row>
    <row r="163" spans="1:9" x14ac:dyDescent="0.3">
      <c r="A163" s="37"/>
      <c r="B163" s="38"/>
      <c r="C163" s="15"/>
      <c r="D163" s="33"/>
      <c r="E163" s="33"/>
      <c r="F163" s="33"/>
      <c r="G163" s="33"/>
      <c r="H163" s="33"/>
      <c r="I163" s="111"/>
    </row>
    <row r="164" spans="1:9" x14ac:dyDescent="0.3">
      <c r="A164" s="131" t="s">
        <v>97</v>
      </c>
      <c r="B164" s="132"/>
      <c r="C164" s="132"/>
      <c r="D164" s="33"/>
      <c r="E164" s="33"/>
      <c r="F164" s="33"/>
      <c r="G164" s="33"/>
      <c r="H164" s="33"/>
      <c r="I164" s="111"/>
    </row>
    <row r="165" spans="1:9" x14ac:dyDescent="0.3">
      <c r="A165" s="35" t="s">
        <v>98</v>
      </c>
      <c r="B165" s="38"/>
      <c r="C165" s="15"/>
      <c r="D165" s="33"/>
      <c r="E165" s="33"/>
      <c r="F165" s="33"/>
      <c r="G165" s="33"/>
      <c r="H165" s="33"/>
      <c r="I165" s="111"/>
    </row>
    <row r="166" spans="1:9" ht="15.75" x14ac:dyDescent="0.3">
      <c r="A166" s="141" t="s">
        <v>234</v>
      </c>
      <c r="B166" s="89"/>
      <c r="C166" s="89"/>
      <c r="D166" s="89"/>
      <c r="E166" s="39"/>
      <c r="F166" s="39"/>
      <c r="G166" s="39"/>
      <c r="H166" s="39"/>
      <c r="I166" s="111"/>
    </row>
    <row r="167" spans="1:9" x14ac:dyDescent="0.3">
      <c r="A167" s="89"/>
      <c r="B167" s="89"/>
      <c r="C167" s="89"/>
      <c r="D167" s="89"/>
      <c r="E167" s="39"/>
      <c r="F167" s="39"/>
      <c r="G167" s="39"/>
      <c r="H167" s="39"/>
      <c r="I167" s="111"/>
    </row>
    <row r="168" spans="1:9" x14ac:dyDescent="0.3">
      <c r="A168" s="35" t="s">
        <v>99</v>
      </c>
      <c r="B168" s="90"/>
      <c r="C168" s="90"/>
      <c r="D168" s="90"/>
      <c r="E168" s="33"/>
      <c r="F168" s="33"/>
      <c r="G168" s="33"/>
      <c r="H168" s="33"/>
      <c r="I168" s="111"/>
    </row>
    <row r="169" spans="1:9" ht="15.75" x14ac:dyDescent="0.3">
      <c r="A169" s="141" t="s">
        <v>235</v>
      </c>
      <c r="B169" s="90"/>
      <c r="C169" s="90"/>
      <c r="D169" s="90"/>
      <c r="E169" s="33"/>
      <c r="F169" s="33"/>
      <c r="G169" s="33"/>
      <c r="H169" s="33"/>
      <c r="I169" s="111"/>
    </row>
    <row r="170" spans="1:9" x14ac:dyDescent="0.3">
      <c r="A170" s="37"/>
      <c r="B170" s="38"/>
      <c r="C170" s="15"/>
      <c r="D170" s="33"/>
      <c r="E170" s="33"/>
      <c r="F170" s="33"/>
      <c r="G170" s="33"/>
      <c r="H170" s="33"/>
      <c r="I170" s="111"/>
    </row>
    <row r="171" spans="1:9" ht="58.5" customHeight="1" x14ac:dyDescent="0.3">
      <c r="A171" s="123"/>
      <c r="B171" s="124"/>
      <c r="C171" s="124"/>
      <c r="D171" s="124"/>
      <c r="E171" s="124"/>
      <c r="F171" s="33"/>
      <c r="G171" s="33"/>
      <c r="H171" s="33"/>
      <c r="I171" s="111"/>
    </row>
    <row r="172" spans="1:9" x14ac:dyDescent="0.3">
      <c r="A172" s="37"/>
      <c r="B172" s="38"/>
      <c r="C172" s="15"/>
      <c r="D172" s="33"/>
      <c r="E172" s="33"/>
      <c r="F172" s="33"/>
      <c r="G172" s="33"/>
      <c r="H172" s="33"/>
      <c r="I172" s="111"/>
    </row>
    <row r="173" spans="1:9" ht="15.75" x14ac:dyDescent="0.3">
      <c r="A173" s="37"/>
      <c r="B173" s="116"/>
      <c r="C173" s="15"/>
      <c r="D173" s="33"/>
      <c r="E173" s="33"/>
      <c r="F173" s="33"/>
      <c r="G173" s="33"/>
      <c r="H173" s="33"/>
      <c r="I173" s="111"/>
    </row>
    <row r="174" spans="1:9" x14ac:dyDescent="0.3">
      <c r="A174" s="37"/>
      <c r="B174" s="38"/>
      <c r="C174" s="15"/>
      <c r="D174" s="33"/>
      <c r="E174" s="33"/>
      <c r="F174" s="33"/>
      <c r="G174" s="33"/>
      <c r="H174" s="33"/>
      <c r="I174" s="111"/>
    </row>
    <row r="175" spans="1:9" x14ac:dyDescent="0.3">
      <c r="A175" s="37"/>
      <c r="B175" s="38"/>
      <c r="C175" s="15"/>
      <c r="D175" s="33"/>
      <c r="E175" s="33"/>
      <c r="F175" s="33"/>
      <c r="G175" s="33"/>
      <c r="H175" s="33"/>
      <c r="I175" s="111"/>
    </row>
    <row r="176" spans="1:9" x14ac:dyDescent="0.3">
      <c r="A176" s="37"/>
      <c r="B176" s="38"/>
      <c r="C176" s="15"/>
      <c r="D176" s="33"/>
      <c r="E176" s="33"/>
      <c r="F176" s="33"/>
      <c r="G176" s="33"/>
      <c r="H176" s="33"/>
      <c r="I176" s="111"/>
    </row>
  </sheetData>
  <sortState xmlns:xlrd2="http://schemas.microsoft.com/office/spreadsheetml/2017/richdata2" ref="A50:J55">
    <sortCondition descending="1" ref="E50:E55"/>
  </sortState>
  <mergeCells count="19">
    <mergeCell ref="A1:I1"/>
    <mergeCell ref="A2:I2"/>
    <mergeCell ref="A3:I3"/>
    <mergeCell ref="A123:H123"/>
    <mergeCell ref="A124:I124"/>
    <mergeCell ref="C144:C145"/>
    <mergeCell ref="D144:D145"/>
    <mergeCell ref="A151:B151"/>
    <mergeCell ref="A171:E171"/>
    <mergeCell ref="A93:D93"/>
    <mergeCell ref="A121:H121"/>
    <mergeCell ref="A122:H122"/>
    <mergeCell ref="A131:B131"/>
    <mergeCell ref="C131:G131"/>
    <mergeCell ref="A141:B141"/>
    <mergeCell ref="C141:G141"/>
    <mergeCell ref="A164:C164"/>
    <mergeCell ref="A143:D143"/>
    <mergeCell ref="B144:B145"/>
  </mergeCells>
  <hyperlinks>
    <hyperlink ref="A166" r:id="rId1" xr:uid="{07C2CA01-CE1E-4D19-9D28-AC7CE9E283D6}"/>
    <hyperlink ref="A169" r:id="rId2" xr:uid="{5CE99085-14FF-4701-8136-D9728F4D4411}"/>
  </hyperlinks>
  <pageMargins left="0.7" right="0.7" top="0.75" bottom="0.75" header="0.3" footer="0.3"/>
  <pageSetup paperSize="9" orientation="portrait" r:id="rId3"/>
  <headerFooter>
    <oddHeader>&amp;C&amp;"Aptos"&amp;11&amp;K0000FF Classification - Internal&amp;1#_x000D_</oddHeader>
    <oddFooter>&amp;C_x000D_&amp;1#&amp;"Aptos"&amp;11&amp;K0000FF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Ultra Short to Short Term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2025-04-15T12:29:50Z</dcterms:created>
  <dcterms:modified xsi:type="dcterms:W3CDTF">2026-09-08T06:36:40Z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2026-07-01T11:44:33Z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d2b546b6-6a05-4f69-9cff-34ddf3118c9c</vt:lpwstr>
  </property>
  <property fmtid="{D5CDD505-2E9C-101B-9397-08002B2CF9AE}" pid="8" name="MSIP_Label_e3ba8fb0-bbb8-454c-aa98-661329b3f27f_ContentBits">
    <vt:lpwstr>3</vt:lpwstr>
  </property>
  <property fmtid="{D5CDD505-2E9C-101B-9397-08002B2CF9AE}" pid="9" name="MSIP_Label_e3ba8fb0-bbb8-454c-aa98-661329b3f27f_Tag">
    <vt:lpwstr>10, 0, 1, 1</vt:lpwstr>
  </property>
</Properties>
</file>