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66925"/>
  <mc:AlternateContent xmlns:mc="http://schemas.openxmlformats.org/markup-compatibility/2006">
    <mc:Choice Requires="x15">
      <x15ac:absPath xmlns:x15ac="http://schemas.microsoft.com/office/spreadsheetml/2010/11/ac" url="G:\p\NAV All Files 2006-2007\Monthly Portfolio\August 2026\Monthly portfolio Aug 2026\Monthly\"/>
    </mc:Choice>
  </mc:AlternateContent>
  <xr:revisionPtr revIDLastSave="0" documentId="13_ncr:1_{531F231C-9347-45CF-A904-30A90BE9F77A}" xr6:coauthVersionLast="47" xr6:coauthVersionMax="47" xr10:uidLastSave="{00000000-0000-0000-0000-000000000000}"/>
  <bookViews>
    <workbookView xWindow="-110" yWindow="-110" windowWidth="19420" windowHeight="11500" xr2:uid="{00000000-000D-0000-FFFF-FFFF00000000}"/>
  </bookViews>
  <sheets>
    <sheet name="JM Liquid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1" i="1" l="1"/>
  <c r="E51" i="1"/>
  <c r="E64" i="1" s="1"/>
</calcChain>
</file>

<file path=xl/sharedStrings.xml><?xml version="1.0" encoding="utf-8"?>
<sst xmlns="http://schemas.openxmlformats.org/spreadsheetml/2006/main" count="293" uniqueCount="207">
  <si>
    <t>JM Financial Mutual Fund</t>
  </si>
  <si>
    <t>JM Liquid Fund (An Open-Ended Liquid Scheme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</si>
  <si>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</si>
  <si>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</si>
  <si>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</si>
  <si>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</si>
  <si>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</si>
  <si>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</si>
  <si>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</si>
  <si>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</si>
  <si>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Total</t>
  </si>
  <si>
    <t>MONEY MARKET INSTRUMENTS</t>
  </si>
  <si>
    <t>Treasury Bills</t>
  </si>
  <si>
    <t>SOVEREIGN</t>
  </si>
  <si>
    <t>Commercial Papers</t>
  </si>
  <si>
    <t>CRISIL A1+</t>
  </si>
  <si>
    <t>CARE A1+</t>
  </si>
  <si>
    <t>Certificate of Deposits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</si>
  <si>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</si>
  <si>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</si>
  <si>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</si>
  <si>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</si>
  <si>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</si>
  <si>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</si>
  <si>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</si>
  <si>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</si>
  <si>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</si>
  <si>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</si>
  <si>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</si>
  <si>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</si>
  <si>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</si>
  <si>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</si>
  <si>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CRISIL Liquid Debt A-I Index</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</si>
  <si>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</si>
  <si>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</si>
  <si>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</si>
  <si>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</si>
  <si>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</si>
  <si>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</si>
  <si>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</si>
  <si>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</si>
  <si>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</si>
  <si>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</si>
  <si>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</si>
  <si>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</si>
  <si>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</si>
  <si>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</si>
  <si>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</si>
  <si>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 (Regular &amp; Direct)</t>
  </si>
  <si>
    <t xml:space="preserve"> </t>
  </si>
  <si>
    <t xml:space="preserve">As on (Date) </t>
  </si>
  <si>
    <t xml:space="preserve">* in case of semi annual YTM,  it will be annualised </t>
  </si>
  <si>
    <t>**  Non Traded Security</t>
  </si>
  <si>
    <t># Unlisted Securities</t>
  </si>
  <si>
    <t>Name of Instrument</t>
  </si>
  <si>
    <t>Rating/Industry</t>
  </si>
  <si>
    <t>Market Value (In Rs. lakh)</t>
  </si>
  <si>
    <t>% To Net Assets</t>
  </si>
  <si>
    <t>Maturity Date</t>
  </si>
  <si>
    <t>Put/Call Option</t>
  </si>
  <si>
    <t>Yield</t>
  </si>
  <si>
    <t>^YTC (AT1/Tier 2 bonds)</t>
  </si>
  <si>
    <t>Macaulay Duration (Days )</t>
  </si>
  <si>
    <t>Average Maturity  (Days )</t>
  </si>
  <si>
    <t xml:space="preserve">The risk of the scheme is Low to Moderate </t>
  </si>
  <si>
    <t>Quantity</t>
  </si>
  <si>
    <t>Alternative Investment Fund Units</t>
  </si>
  <si>
    <t>Corporate Debt Market Development Fund - Class A2 Units</t>
  </si>
  <si>
    <t>ICRA A1+</t>
  </si>
  <si>
    <t xml:space="preserve"> Riskometer of the scheme </t>
  </si>
  <si>
    <t>NOTES:</t>
  </si>
  <si>
    <t>As on</t>
  </si>
  <si>
    <t>Net Asset Values per unit as follows - Plan/Option</t>
  </si>
  <si>
    <t>(Regular) - Daily IDCW Option</t>
  </si>
  <si>
    <t>(Rs.)</t>
  </si>
  <si>
    <t>(Regular) - Weekly IDCW Option</t>
  </si>
  <si>
    <t>(Regular) - Quarterly IDCW Option</t>
  </si>
  <si>
    <t>(Regular) - Growth Option</t>
  </si>
  <si>
    <t>(Regular) - Bonus Option ^^</t>
  </si>
  <si>
    <t>(Regular) - Super Institutional Plan - Growth Option ##</t>
  </si>
  <si>
    <t>(Direct) - Daily IDCW Option</t>
  </si>
  <si>
    <t>(Direct) - Weekly IDCW Option</t>
  </si>
  <si>
    <t>(Direct) - Quarterly IDCW Option</t>
  </si>
  <si>
    <t>(Direct) - Growth Option</t>
  </si>
  <si>
    <t>(Direct) - Unclaimed Brokerage Investor Education Fund - Growth Plan ##</t>
  </si>
  <si>
    <t>(Direct) - Unclaimed Application Refund Amount Investor Education Fund - Growth Plan ##</t>
  </si>
  <si>
    <t>^^ In terms of AMFI Best Practice Guidelines Circular No. 58 dated May 19, 2015, the Bonus Options under all the Schemes of JM Financial Mutual Fund are discontinued w.e.f. July 7, 2015. Fresh subscriptions through (fresh/additional/switches/ STP/SIP) under the Bonus Options of all the existing schemes of JM Financial Mutual Fund have been discontinued till further notice. The existing and fresh SIP transactions under the Bonus Options of all the Schemes has also been discontinued from the effective date.</t>
  </si>
  <si>
    <t>##- The Plans are not available for subscription / investments by the investors.</t>
  </si>
  <si>
    <t>(Rs.) Per Unit</t>
  </si>
  <si>
    <t>(Direct)- Weekly IDCW Option</t>
  </si>
  <si>
    <t>Bonus declared during the period is Nil</t>
  </si>
  <si>
    <t>Total outstanding exposure in derivative instruments at the end of the period is Nil</t>
  </si>
  <si>
    <t>Total Securities classified as below investment grade or default and provided for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</si>
  <si>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</si>
  <si>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</si>
  <si>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</si>
  <si>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</si>
  <si>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</si>
  <si>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Scheme performance</t>
  </si>
  <si>
    <t>Regular Plan</t>
  </si>
  <si>
    <t>https://www.jmfinancialmf.com/products/Fixed-Income/JM-Liquid-Fund/J13/Regular-Plan-Growth-Option</t>
  </si>
  <si>
    <t>Direct Plan</t>
  </si>
  <si>
    <t>https://www.jmfinancialmf.com/products/Fixed-Income/JM-Liquid-Fund/J452/Direct-Plan-Growth-Option</t>
  </si>
  <si>
    <t>INE929O14FA5</t>
  </si>
  <si>
    <t>Reliance Retail Ventures Ltd 02-SEP-2026**</t>
  </si>
  <si>
    <t>02-SEP-2026</t>
  </si>
  <si>
    <t>07-SEP-2026</t>
  </si>
  <si>
    <t>INE484J14D08</t>
  </si>
  <si>
    <t>Godrej Properties Limited 10-SEP-2026**</t>
  </si>
  <si>
    <t>10-SEP-2026</t>
  </si>
  <si>
    <t>INE498L14FW1</t>
  </si>
  <si>
    <t>01-SEP-2026</t>
  </si>
  <si>
    <t>Nil</t>
  </si>
  <si>
    <t>INE865C14QO4</t>
  </si>
  <si>
    <t>Aditya Birla Money Limited 15-SEP-2026**</t>
  </si>
  <si>
    <t>15-SEP-2026</t>
  </si>
  <si>
    <t>INE582L14JR4</t>
  </si>
  <si>
    <t>Tata Housing Development Company Ltd. 15-SEP-2026**</t>
  </si>
  <si>
    <t>INE916D145Y5</t>
  </si>
  <si>
    <t>Kotak Mahindra Prime Limited 07-SEP-2026**</t>
  </si>
  <si>
    <t>IN002026Y055</t>
  </si>
  <si>
    <t>182 Days Treasury Bill 05-Nov-2026</t>
  </si>
  <si>
    <t>05-NOV-2026</t>
  </si>
  <si>
    <t>INE891D14D01</t>
  </si>
  <si>
    <t>Redington Limited 13-NOV-2026**</t>
  </si>
  <si>
    <t>13-NOV-2026</t>
  </si>
  <si>
    <t>INE522D14OU1</t>
  </si>
  <si>
    <t>Manappuram Finance Limited 15-SEP-2026**</t>
  </si>
  <si>
    <t>INE020B14714</t>
  </si>
  <si>
    <t>REC Limited 22-OCT-2026**</t>
  </si>
  <si>
    <t>22-OCT-2026</t>
  </si>
  <si>
    <t>INE498L14GG2</t>
  </si>
  <si>
    <t>L&amp;T Finance Limited 05-NOV-2026**</t>
  </si>
  <si>
    <t>INE01C314GT2</t>
  </si>
  <si>
    <t>BAJAJ FINANCIAL SECURITIES LIMITED 13-NOV-2026**</t>
  </si>
  <si>
    <t>INE028A16MW0</t>
  </si>
  <si>
    <t>Bank of Baroda 11-NOV-2026**#</t>
  </si>
  <si>
    <t>11-NOV-2026</t>
  </si>
  <si>
    <t>27-OCT-2026</t>
  </si>
  <si>
    <t>INE092T16ZZ1</t>
  </si>
  <si>
    <t>IDFC First Bank Limited 22-OCT-2026**#</t>
  </si>
  <si>
    <t>INE562A16PP5</t>
  </si>
  <si>
    <t>Indian Bank 27-OCT-2026**#</t>
  </si>
  <si>
    <t>INE556F16BQ4</t>
  </si>
  <si>
    <t>06-NOV-2026</t>
  </si>
  <si>
    <t>IN002026X206</t>
  </si>
  <si>
    <t>91 Days Treasury Bill 19-Nov-2026</t>
  </si>
  <si>
    <t>19-NOV-2026</t>
  </si>
  <si>
    <t>5.26%</t>
  </si>
  <si>
    <t>5.25%</t>
  </si>
  <si>
    <t>7.11%</t>
  </si>
  <si>
    <t>6.62%</t>
  </si>
  <si>
    <t>6.56%</t>
  </si>
  <si>
    <t>7.03%</t>
  </si>
  <si>
    <t>6.37%</t>
  </si>
  <si>
    <t>L&amp;T Finance Limited 01-SEP-2026</t>
  </si>
  <si>
    <t>5.16%</t>
  </si>
  <si>
    <t>6.33%</t>
  </si>
  <si>
    <t>6.98%</t>
  </si>
  <si>
    <t>6.84%</t>
  </si>
  <si>
    <t>INE733E14BZ8</t>
  </si>
  <si>
    <t>NTPC Limited 09-SEP-2026</t>
  </si>
  <si>
    <t>09-SEP-2026</t>
  </si>
  <si>
    <t>6.31%</t>
  </si>
  <si>
    <t>6.06%</t>
  </si>
  <si>
    <t>INE134E14AZ1</t>
  </si>
  <si>
    <t>Power Finance Corporation Limited 18-NOV-2026**</t>
  </si>
  <si>
    <t>18-NOV-2026</t>
  </si>
  <si>
    <t>6.38%</t>
  </si>
  <si>
    <t>INE476A16K71</t>
  </si>
  <si>
    <t>Canara Bank 17-NOV-2026**#</t>
  </si>
  <si>
    <t>17-NOV-2026</t>
  </si>
  <si>
    <t>INE040A16JX9</t>
  </si>
  <si>
    <t>HDFC Bank Limited 02-NOV-2026**#</t>
  </si>
  <si>
    <t>02-NOV-2026</t>
  </si>
  <si>
    <t>6.44%</t>
  </si>
  <si>
    <t>6.48%</t>
  </si>
  <si>
    <t>INE692A16MP7</t>
  </si>
  <si>
    <t>Union Bank of India 24-SEP-2026**#</t>
  </si>
  <si>
    <t>24-SEP-2026</t>
  </si>
  <si>
    <t>6.28%</t>
  </si>
  <si>
    <t>INE692A16MJ0</t>
  </si>
  <si>
    <t>Union Bank of India 04-SEP-2026**#</t>
  </si>
  <si>
    <t>IND A1+</t>
  </si>
  <si>
    <t>04-SEP-2026</t>
  </si>
  <si>
    <t>5.95%</t>
  </si>
  <si>
    <t>INE562A16RC9</t>
  </si>
  <si>
    <t>Indian Bank 01-SEP-2026#</t>
  </si>
  <si>
    <t>5.14%</t>
  </si>
  <si>
    <t>INE171A16NQ8</t>
  </si>
  <si>
    <t>The Federal Bank  Limited 15-SEP-2026#</t>
  </si>
  <si>
    <t>6.15%</t>
  </si>
  <si>
    <t>INE476A16I18</t>
  </si>
  <si>
    <t>Canara Bank 15-SEP-2026**#</t>
  </si>
  <si>
    <t>6.04%</t>
  </si>
  <si>
    <t>INE514E16CN1</t>
  </si>
  <si>
    <t>EXIM Bank 11-NOV-2026**#</t>
  </si>
  <si>
    <t>SIDBI 06-NOV-2026**#</t>
  </si>
  <si>
    <t>INE238AD6BO6</t>
  </si>
  <si>
    <t>Axis Bank Limited 26-NOV-2026**#</t>
  </si>
  <si>
    <t>26-NOV-2026</t>
  </si>
  <si>
    <t>Note - Traded Securities (Debt) as on Aug 31, 2026</t>
  </si>
  <si>
    <t>Note - Aggregate market value of investments by other scheme (s) of JM Financial Mutual Fund at the end of the period is Rs 3148.40 Lakhs.</t>
  </si>
  <si>
    <t>31.08.2026</t>
  </si>
  <si>
    <t>IDCW declared during the period (Gross)-Plan</t>
  </si>
  <si>
    <t>Average Maturity Period is 41 days</t>
  </si>
  <si>
    <t>Monthly Portfolio Statement for the period ended 31.08.2026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</si>
</sst>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 numFmtId="170" formatCode="_(* #,##0.00_);_(* \(#,##0.00\);_(* &quot;-&quot;??_);_(@_)"/>
    <numFmt numFmtId="171" formatCode="0.0000;[Red]0.0000"/>
    <numFmt numFmtId="172" formatCode="0.00;[Red]0.00"/>
    <numFmt numFmtId="173" formatCode="_-* #,##0.00_-;\-* #,##0.00_-;_-* &quot;-&quot;??_-;_-@_-"/>
    <numFmt numFmtId="174" formatCode="#,##0.0000"/>
  </numFmts>
  <fonts count="22">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sz val="8"/>
      <color theme="1"/>
      <name val="Century Gothic"/>
      <family val="2"/>
    </font>
    <font>
      <b/>
      <sz val="8"/>
      <color indexed="72"/>
      <name val="Century Gothic"/>
      <family val="2"/>
    </font>
    <font>
      <b/>
      <sz val="8"/>
      <color indexed="56"/>
      <name val="Century Gothic"/>
      <family val="2"/>
    </font>
    <font>
      <sz val="8"/>
      <color indexed="72"/>
      <name val="Century Gothic"/>
      <family val="2"/>
    </font>
    <font>
      <u/>
      <sz val="11"/>
      <color theme="10"/>
      <name val="Calibri"/>
      <family val="2"/>
      <scheme val="minor"/>
    </font>
    <font>
      <b/>
      <u/>
      <sz val="8"/>
      <color theme="10"/>
      <name val="Century Gothic"/>
      <family val="2"/>
    </font>
    <font>
      <b/>
      <sz val="8"/>
      <color theme="4"/>
      <name val="Century Gothic"/>
      <family val="2"/>
    </font>
    <font>
      <sz val="9"/>
      <color rgb="FF000000"/>
      <name val="SourceSansPro-Regular"/>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2">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7" fillId="0" borderId="0"/>
    <xf numFmtId="0" fontId="12" fillId="0" borderId="0" applyNumberFormat="0" applyFill="0" applyBorder="0" applyProtection="0"/>
    <xf numFmtId="170" fontId="2" fillId="0" borderId="0" applyFont="0" applyFill="0" applyBorder="0" applyAlignment="0" applyProtection="0"/>
    <xf numFmtId="173" fontId="2" fillId="0" borderId="0" applyFont="0" applyFill="0" applyBorder="0" applyAlignment="0" applyProtection="0"/>
    <xf numFmtId="0" fontId="18" fillId="0" borderId="0" applyNumberFormat="0" applyFill="0" applyBorder="0" applyAlignment="0" applyProtection="0"/>
    <xf numFmtId="0" fontId="7" fillId="0" borderId="0"/>
  </cellStyleXfs>
  <cellXfs count="141">
    <xf numFmtId="0" fontId="0" fillId="0" borderId="0" xfId="0"/>
    <xf numFmtId="0" fontId="4" fillId="0" borderId="0" xfId="0" applyFont="1"/>
    <xf numFmtId="164"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4" fontId="6" fillId="0" borderId="0" xfId="3" applyNumberFormat="1" applyFont="1" applyAlignment="1">
      <alignment horizontal="right"/>
    </xf>
    <xf numFmtId="4" fontId="6" fillId="0" borderId="0" xfId="3" applyNumberFormat="1" applyFont="1"/>
    <xf numFmtId="0" fontId="6" fillId="0" borderId="0" xfId="3" applyFont="1"/>
    <xf numFmtId="0" fontId="8" fillId="0" borderId="0" xfId="5" applyFont="1"/>
    <xf numFmtId="0" fontId="6" fillId="0" borderId="0" xfId="6" applyFont="1" applyAlignment="1">
      <alignment horizontal="left" vertical="top" wrapText="1"/>
    </xf>
    <xf numFmtId="4" fontId="6" fillId="0" borderId="0" xfId="6" applyNumberFormat="1" applyFont="1" applyAlignment="1">
      <alignment horizontal="left" vertical="top" wrapText="1"/>
    </xf>
    <xf numFmtId="0" fontId="6" fillId="0" borderId="0" xfId="3" applyFont="1" applyAlignment="1">
      <alignment horizontal="left" wrapText="1"/>
    </xf>
    <xf numFmtId="43" fontId="6" fillId="0" borderId="0" xfId="1" applyFont="1" applyFill="1" applyAlignment="1">
      <alignment horizontal="right"/>
    </xf>
    <xf numFmtId="0" fontId="8" fillId="0" borderId="0" xfId="7" applyFont="1" applyAlignment="1">
      <alignment horizontal="left" vertical="center" wrapText="1"/>
    </xf>
    <xf numFmtId="0" fontId="10" fillId="0" borderId="0" xfId="8" applyFont="1"/>
    <xf numFmtId="0" fontId="11" fillId="0" borderId="0" xfId="3" applyFont="1" applyAlignment="1">
      <alignment horizontal="left" wrapText="1"/>
    </xf>
    <xf numFmtId="43" fontId="6" fillId="0" borderId="0" xfId="1" applyFont="1" applyFill="1" applyBorder="1" applyAlignment="1">
      <alignment horizontal="right"/>
    </xf>
    <xf numFmtId="0" fontId="8" fillId="0" borderId="0" xfId="8" applyFont="1"/>
    <xf numFmtId="0" fontId="8" fillId="0" borderId="0" xfId="9" applyFont="1"/>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left"/>
    </xf>
    <xf numFmtId="0" fontId="8" fillId="0" borderId="0" xfId="3" applyFont="1"/>
    <xf numFmtId="164" fontId="6" fillId="0" borderId="0" xfId="1" applyNumberFormat="1" applyFont="1"/>
    <xf numFmtId="43" fontId="6" fillId="0" borderId="0" xfId="1" applyFont="1" applyFill="1" applyBorder="1"/>
    <xf numFmtId="0" fontId="10" fillId="0" borderId="6" xfId="3" applyFont="1" applyBorder="1" applyAlignment="1">
      <alignment vertical="center" wrapText="1"/>
    </xf>
    <xf numFmtId="0" fontId="6" fillId="0" borderId="6" xfId="3" applyFont="1" applyBorder="1" applyAlignment="1">
      <alignment vertical="center" wrapText="1"/>
    </xf>
    <xf numFmtId="0" fontId="8" fillId="3" borderId="8" xfId="3" applyFont="1" applyFill="1" applyBorder="1" applyAlignment="1">
      <alignment horizontal="center" vertical="center" wrapText="1"/>
    </xf>
    <xf numFmtId="0" fontId="8" fillId="0" borderId="8" xfId="3" applyFont="1" applyBorder="1" applyAlignment="1">
      <alignment vertical="center" wrapText="1"/>
    </xf>
    <xf numFmtId="0" fontId="8" fillId="0" borderId="6" xfId="3" applyFont="1" applyBorder="1" applyAlignment="1">
      <alignment vertical="center" wrapText="1"/>
    </xf>
    <xf numFmtId="0" fontId="8" fillId="0" borderId="0" xfId="3" applyFont="1" applyAlignment="1">
      <alignment vertical="center" wrapText="1"/>
    </xf>
    <xf numFmtId="4" fontId="6" fillId="0" borderId="0" xfId="1" applyNumberFormat="1" applyFont="1"/>
    <xf numFmtId="0" fontId="6" fillId="0" borderId="2" xfId="3" applyFont="1" applyBorder="1" applyAlignment="1">
      <alignment wrapText="1"/>
    </xf>
    <xf numFmtId="0" fontId="6" fillId="0" borderId="2" xfId="3" applyFont="1" applyBorder="1" applyAlignment="1">
      <alignment horizontal="center" wrapText="1"/>
    </xf>
    <xf numFmtId="0" fontId="6" fillId="0" borderId="2" xfId="3" applyFont="1" applyBorder="1" applyAlignment="1">
      <alignment horizontal="left" wrapText="1"/>
    </xf>
    <xf numFmtId="0" fontId="6" fillId="0" borderId="10" xfId="3" applyFont="1" applyBorder="1" applyAlignment="1">
      <alignment horizontal="left" wrapText="1"/>
    </xf>
    <xf numFmtId="0" fontId="6" fillId="0" borderId="9" xfId="3" applyFont="1" applyBorder="1" applyAlignment="1">
      <alignment horizontal="left" wrapText="1"/>
    </xf>
    <xf numFmtId="14" fontId="6" fillId="0" borderId="2" xfId="3" applyNumberFormat="1" applyFont="1" applyBorder="1" applyAlignment="1">
      <alignment horizontal="center" wrapText="1"/>
    </xf>
    <xf numFmtId="0" fontId="5" fillId="0" borderId="2" xfId="0" applyFont="1" applyBorder="1" applyAlignment="1">
      <alignment horizontal="center" vertical="center" wrapText="1"/>
    </xf>
    <xf numFmtId="0" fontId="13" fillId="4" borderId="0" xfId="0" applyFont="1" applyFill="1"/>
    <xf numFmtId="0" fontId="6" fillId="0" borderId="2" xfId="0" applyFont="1" applyBorder="1"/>
    <xf numFmtId="0" fontId="14" fillId="0" borderId="0" xfId="0" applyFont="1"/>
    <xf numFmtId="0" fontId="6" fillId="0" borderId="0" xfId="0" applyFont="1"/>
    <xf numFmtId="0" fontId="5" fillId="0" borderId="0" xfId="3" applyFont="1" applyAlignment="1">
      <alignment horizontal="center" wrapText="1"/>
    </xf>
    <xf numFmtId="0" fontId="16" fillId="0" borderId="0" xfId="0" applyFont="1"/>
    <xf numFmtId="0" fontId="15"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8" fillId="0" borderId="2" xfId="0" applyFont="1" applyBorder="1"/>
    <xf numFmtId="0" fontId="15"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7" fillId="0" borderId="2" xfId="0" applyFont="1" applyBorder="1" applyAlignment="1">
      <alignment horizontal="right" vertical="top"/>
    </xf>
    <xf numFmtId="0" fontId="17" fillId="0" borderId="2" xfId="0" applyFont="1" applyBorder="1" applyAlignment="1">
      <alignment horizontal="left" vertical="top"/>
    </xf>
    <xf numFmtId="4" fontId="17"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17" fillId="0" borderId="2" xfId="0" applyNumberFormat="1" applyFont="1" applyBorder="1" applyAlignment="1">
      <alignment horizontal="right" vertical="top"/>
    </xf>
    <xf numFmtId="168" fontId="17" fillId="0" borderId="2" xfId="0" applyNumberFormat="1" applyFont="1" applyBorder="1" applyAlignment="1">
      <alignment horizontal="right" vertical="top"/>
    </xf>
    <xf numFmtId="4" fontId="8" fillId="0" borderId="2" xfId="0" applyNumberFormat="1" applyFont="1" applyBorder="1"/>
    <xf numFmtId="4" fontId="15"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7" fillId="0" borderId="2" xfId="0" applyFont="1" applyBorder="1" applyAlignment="1">
      <alignment horizontal="left" vertical="top" wrapText="1"/>
    </xf>
    <xf numFmtId="0" fontId="17" fillId="0" borderId="2" xfId="0" applyFont="1" applyBorder="1" applyAlignment="1">
      <alignment horizontal="right" vertical="top" wrapText="1"/>
    </xf>
    <xf numFmtId="168" fontId="17"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7" fillId="0" borderId="2" xfId="0" applyNumberFormat="1" applyFont="1" applyBorder="1" applyAlignment="1">
      <alignment horizontal="right" vertical="top" wrapText="1"/>
    </xf>
    <xf numFmtId="167" fontId="17"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10" fontId="8" fillId="0" borderId="2" xfId="2" applyNumberFormat="1" applyFont="1" applyFill="1" applyBorder="1" applyAlignment="1">
      <alignment horizontal="right"/>
    </xf>
    <xf numFmtId="10" fontId="8" fillId="0" borderId="2" xfId="2" applyNumberFormat="1" applyFont="1" applyFill="1" applyBorder="1" applyAlignment="1"/>
    <xf numFmtId="10" fontId="17" fillId="0" borderId="2" xfId="0" applyNumberFormat="1" applyFont="1" applyBorder="1" applyAlignment="1">
      <alignment horizontal="right" vertical="top"/>
    </xf>
    <xf numFmtId="10" fontId="5" fillId="0" borderId="2" xfId="2"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6" fillId="0" borderId="11" xfId="0" applyNumberFormat="1" applyFont="1" applyBorder="1" applyAlignment="1">
      <alignment horizontal="right"/>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4" fillId="0" borderId="2" xfId="0" applyFont="1" applyBorder="1"/>
    <xf numFmtId="10" fontId="10" fillId="0" borderId="2" xfId="2" applyNumberFormat="1" applyFont="1" applyBorder="1"/>
    <xf numFmtId="0" fontId="14" fillId="0" borderId="2" xfId="0" applyFont="1" applyBorder="1" applyAlignment="1">
      <alignment horizontal="right"/>
    </xf>
    <xf numFmtId="0" fontId="14" fillId="0" borderId="0" xfId="0" applyFont="1" applyAlignment="1">
      <alignment wrapText="1"/>
    </xf>
    <xf numFmtId="0" fontId="5" fillId="0" borderId="0" xfId="0" applyFont="1"/>
    <xf numFmtId="0" fontId="6" fillId="0" borderId="0" xfId="6" applyFont="1" applyAlignment="1">
      <alignment horizontal="left" vertical="top"/>
    </xf>
    <xf numFmtId="0" fontId="6" fillId="0" borderId="0" xfId="0" applyFont="1" applyAlignment="1">
      <alignment horizontal="center"/>
    </xf>
    <xf numFmtId="4" fontId="5" fillId="0" borderId="0" xfId="11" applyNumberFormat="1" applyFont="1" applyFill="1" applyBorder="1" applyAlignment="1">
      <alignment horizontal="center"/>
    </xf>
    <xf numFmtId="15" fontId="5" fillId="0" borderId="0" xfId="0" applyNumberFormat="1" applyFont="1" applyAlignment="1">
      <alignment horizontal="center"/>
    </xf>
    <xf numFmtId="165" fontId="6" fillId="0" borderId="0" xfId="0" applyNumberFormat="1" applyFont="1" applyAlignment="1">
      <alignment horizontal="center"/>
    </xf>
    <xf numFmtId="0" fontId="0" fillId="0" borderId="0" xfId="0" applyAlignment="1">
      <alignment wrapText="1"/>
    </xf>
    <xf numFmtId="0" fontId="6" fillId="0" borderId="0" xfId="0" applyFont="1" applyAlignment="1">
      <alignment horizontal="left"/>
    </xf>
    <xf numFmtId="171" fontId="6" fillId="0" borderId="0" xfId="0" applyNumberFormat="1" applyFont="1" applyAlignment="1">
      <alignment horizontal="right"/>
    </xf>
    <xf numFmtId="165" fontId="6" fillId="0" borderId="0" xfId="0" applyNumberFormat="1" applyFont="1"/>
    <xf numFmtId="172" fontId="6" fillId="0" borderId="0" xfId="0" applyNumberFormat="1" applyFont="1" applyAlignment="1">
      <alignment horizontal="right"/>
    </xf>
    <xf numFmtId="164" fontId="6" fillId="0" borderId="0" xfId="12" applyNumberFormat="1" applyFont="1" applyFill="1" applyBorder="1" applyAlignment="1"/>
    <xf numFmtId="164" fontId="6" fillId="0" borderId="0" xfId="11" applyNumberFormat="1" applyFont="1" applyFill="1" applyBorder="1" applyAlignment="1"/>
    <xf numFmtId="0" fontId="5" fillId="0" borderId="0" xfId="0" applyFont="1" applyAlignment="1">
      <alignment wrapText="1"/>
    </xf>
    <xf numFmtId="0" fontId="20" fillId="0" borderId="0" xfId="0" applyFont="1"/>
    <xf numFmtId="0" fontId="20" fillId="0" borderId="0" xfId="0" applyFont="1" applyAlignment="1">
      <alignment horizontal="left" wrapText="1"/>
    </xf>
    <xf numFmtId="10" fontId="17" fillId="0" borderId="2" xfId="2" applyNumberFormat="1" applyFont="1" applyBorder="1" applyAlignment="1">
      <alignment horizontal="right" vertical="top"/>
    </xf>
    <xf numFmtId="174" fontId="6" fillId="0" borderId="0" xfId="0" applyNumberFormat="1" applyFont="1"/>
    <xf numFmtId="1" fontId="6" fillId="0" borderId="2" xfId="3" applyNumberFormat="1" applyFont="1" applyBorder="1" applyAlignment="1">
      <alignment horizontal="center"/>
    </xf>
    <xf numFmtId="4" fontId="21" fillId="0" borderId="0" xfId="0" applyNumberFormat="1" applyFont="1"/>
    <xf numFmtId="43" fontId="6" fillId="0" borderId="0" xfId="1" applyFont="1" applyAlignment="1">
      <alignment horizontal="left" vertical="top"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5" fillId="0" borderId="0" xfId="3" applyFont="1"/>
    <xf numFmtId="0" fontId="5" fillId="0" borderId="0" xfId="0" applyFont="1"/>
    <xf numFmtId="0" fontId="19" fillId="0" borderId="0" xfId="13" applyFont="1" applyAlignment="1"/>
    <xf numFmtId="0" fontId="20" fillId="0" borderId="0" xfId="0" applyFont="1"/>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6" fillId="0" borderId="0" xfId="0" applyFont="1" applyAlignment="1">
      <alignment horizontal="left"/>
    </xf>
    <xf numFmtId="0" fontId="6" fillId="0" borderId="0" xfId="6" applyFont="1" applyAlignment="1">
      <alignment horizontal="left" vertical="top" wrapText="1"/>
    </xf>
    <xf numFmtId="0" fontId="8" fillId="0" borderId="0" xfId="7" applyFont="1" applyAlignment="1">
      <alignment horizontal="left" vertical="top" wrapText="1"/>
    </xf>
    <xf numFmtId="0" fontId="9" fillId="0" borderId="0" xfId="7" applyFont="1" applyAlignment="1">
      <alignment horizontal="left" vertical="top" wrapText="1"/>
    </xf>
    <xf numFmtId="0" fontId="14" fillId="0" borderId="0" xfId="0" applyFont="1"/>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18" fillId="0" borderId="0" xfId="13" applyAlignment="1"/>
  </cellXfs>
  <cellStyles count="15">
    <cellStyle name="Comma" xfId="1" builtinId="3"/>
    <cellStyle name="Comma 3" xfId="11" xr:uid="{786BAA63-0153-4D87-BDA8-2C7ACC1AD736}"/>
    <cellStyle name="Comma_Template Portfolio Disclosure - 30.09.2013" xfId="12" xr:uid="{49526F19-6E00-4234-ABB6-7D38B368A6C4}"/>
    <cellStyle name="Hyperlink" xfId="13" builtinId="8"/>
    <cellStyle name="Normal" xfId="0" builtinId="0"/>
    <cellStyle name="Normal 2 2 2" xfId="3" xr:uid="{00000000-0005-0000-0000-000003000000}"/>
    <cellStyle name="Normal 2 2_Template Portfolio Disclosure -31.01 2025" xfId="4" xr:uid="{00000000-0005-0000-0000-000004000000}"/>
    <cellStyle name="Normal 2 3 2" xfId="6" xr:uid="{00000000-0005-0000-0000-000005000000}"/>
    <cellStyle name="Normal 3" xfId="10" xr:uid="{00000000-0005-0000-0000-000006000000}"/>
    <cellStyle name="Normal 4_FF" xfId="14" xr:uid="{EE622283-1881-4537-9D53-53D50F5C5FBF}"/>
    <cellStyle name="Normal 4_IF" xfId="5" xr:uid="{00000000-0005-0000-0000-000007000000}"/>
    <cellStyle name="Normal 4_LD" xfId="7" xr:uid="{00000000-0005-0000-0000-000008000000}"/>
    <cellStyle name="Normal 4_LF" xfId="8" xr:uid="{00000000-0005-0000-0000-000009000000}"/>
    <cellStyle name="Normal 4_ON" xfId="9" xr:uid="{00000000-0005-0000-0000-00000A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476250</xdr:colOff>
      <xdr:row>135</xdr:row>
      <xdr:rowOff>104775</xdr:rowOff>
    </xdr:from>
    <xdr:to>
      <xdr:col>0</xdr:col>
      <xdr:colOff>3124200</xdr:colOff>
      <xdr:row>138</xdr:row>
      <xdr:rowOff>0</xdr:rowOff>
    </xdr:to>
    <xdr:sp macro="" textlink="">
      <xdr:nvSpPr>
        <xdr:cNvPr id="4" name="TextBox 3">
          <a:extLst>
            <a:ext uri="{FF2B5EF4-FFF2-40B4-BE49-F238E27FC236}">
              <a16:creationId xmlns:a16="http://schemas.microsoft.com/office/drawing/2014/main" id="{F6C4474E-7817-42B4-B89F-8F79AA1380E0}"/>
            </a:ext>
          </a:extLst>
        </xdr:cNvPr>
        <xdr:cNvSpPr txBox="1"/>
      </xdr:nvSpPr>
      <xdr:spPr>
        <a:xfrm>
          <a:off x="476250" y="28108275"/>
          <a:ext cx="19526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209550</xdr:colOff>
      <xdr:row>135</xdr:row>
      <xdr:rowOff>104775</xdr:rowOff>
    </xdr:from>
    <xdr:to>
      <xdr:col>3</xdr:col>
      <xdr:colOff>476250</xdr:colOff>
      <xdr:row>138</xdr:row>
      <xdr:rowOff>0</xdr:rowOff>
    </xdr:to>
    <xdr:sp macro="" textlink="">
      <xdr:nvSpPr>
        <xdr:cNvPr id="5" name="TextBox 4">
          <a:extLst>
            <a:ext uri="{FF2B5EF4-FFF2-40B4-BE49-F238E27FC236}">
              <a16:creationId xmlns:a16="http://schemas.microsoft.com/office/drawing/2014/main" id="{2FCBA077-3390-42FA-8C8E-AA17304A32F4}"/>
            </a:ext>
          </a:extLst>
        </xdr:cNvPr>
        <xdr:cNvSpPr txBox="1"/>
      </xdr:nvSpPr>
      <xdr:spPr>
        <a:xfrm>
          <a:off x="2638425" y="28108275"/>
          <a:ext cx="45720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0</xdr:col>
      <xdr:colOff>501650</xdr:colOff>
      <xdr:row>135</xdr:row>
      <xdr:rowOff>92075</xdr:rowOff>
    </xdr:from>
    <xdr:to>
      <xdr:col>0</xdr:col>
      <xdr:colOff>3276600</xdr:colOff>
      <xdr:row>138</xdr:row>
      <xdr:rowOff>104</xdr:rowOff>
    </xdr:to>
    <xdr:sp macro="" textlink="">
      <xdr:nvSpPr>
        <xdr:cNvPr id="8" name="TextBox 7">
          <a:extLst>
            <a:ext uri="{FF2B5EF4-FFF2-40B4-BE49-F238E27FC236}">
              <a16:creationId xmlns:a16="http://schemas.microsoft.com/office/drawing/2014/main" id="{0E00581F-4714-46F0-8C6E-D17B88C3A8B1}"/>
            </a:ext>
          </a:extLst>
        </xdr:cNvPr>
        <xdr:cNvSpPr txBox="1"/>
      </xdr:nvSpPr>
      <xdr:spPr>
        <a:xfrm>
          <a:off x="501650" y="28095575"/>
          <a:ext cx="1927225" cy="450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222250</xdr:colOff>
      <xdr:row>135</xdr:row>
      <xdr:rowOff>92075</xdr:rowOff>
    </xdr:from>
    <xdr:to>
      <xdr:col>3</xdr:col>
      <xdr:colOff>501650</xdr:colOff>
      <xdr:row>138</xdr:row>
      <xdr:rowOff>104</xdr:rowOff>
    </xdr:to>
    <xdr:sp macro="" textlink="">
      <xdr:nvSpPr>
        <xdr:cNvPr id="11" name="TextBox 10">
          <a:extLst>
            <a:ext uri="{FF2B5EF4-FFF2-40B4-BE49-F238E27FC236}">
              <a16:creationId xmlns:a16="http://schemas.microsoft.com/office/drawing/2014/main" id="{9F6DF88E-DE19-40C9-9746-DD31E99FF889}"/>
            </a:ext>
          </a:extLst>
        </xdr:cNvPr>
        <xdr:cNvSpPr txBox="1"/>
      </xdr:nvSpPr>
      <xdr:spPr>
        <a:xfrm>
          <a:off x="2651125" y="28095575"/>
          <a:ext cx="4584700" cy="450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editAs="oneCell">
    <xdr:from>
      <xdr:col>1</xdr:col>
      <xdr:colOff>3752850</xdr:colOff>
      <xdr:row>130</xdr:row>
      <xdr:rowOff>28575</xdr:rowOff>
    </xdr:from>
    <xdr:to>
      <xdr:col>5</xdr:col>
      <xdr:colOff>69850</xdr:colOff>
      <xdr:row>139</xdr:row>
      <xdr:rowOff>12700</xdr:rowOff>
    </xdr:to>
    <xdr:pic>
      <xdr:nvPicPr>
        <xdr:cNvPr id="12" name="Picture 11">
          <a:extLst>
            <a:ext uri="{FF2B5EF4-FFF2-40B4-BE49-F238E27FC236}">
              <a16:creationId xmlns:a16="http://schemas.microsoft.com/office/drawing/2014/main" id="{BF83115F-E9EC-43B9-B172-66DCA2D3FD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3075" y="24393525"/>
          <a:ext cx="2905125"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1238250</xdr:colOff>
      <xdr:row>130</xdr:row>
      <xdr:rowOff>38100</xdr:rowOff>
    </xdr:from>
    <xdr:to>
      <xdr:col>1</xdr:col>
      <xdr:colOff>2343150</xdr:colOff>
      <xdr:row>139</xdr:row>
      <xdr:rowOff>19050</xdr:rowOff>
    </xdr:to>
    <xdr:pic>
      <xdr:nvPicPr>
        <xdr:cNvPr id="13" name="Picture 12">
          <a:extLst>
            <a:ext uri="{FF2B5EF4-FFF2-40B4-BE49-F238E27FC236}">
              <a16:creationId xmlns:a16="http://schemas.microsoft.com/office/drawing/2014/main" id="{173D22EC-C961-4B9D-91CD-612FAE54C8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0" y="24403050"/>
          <a:ext cx="2905125"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Fixed-Income/JM-Liquid-Fund/J452/Direct-Plan-Growth-Option" TargetMode="External"/><Relationship Id="rId1" Type="http://schemas.openxmlformats.org/officeDocument/2006/relationships/hyperlink" Target="https://www.jmfinancialmf.com/products/Fixed-Income/JM-Liquid-Fund/J13/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7"/>
  <sheetViews>
    <sheetView tabSelected="1" topLeftCell="A154" zoomScaleNormal="100" workbookViewId="0">
      <selection activeCell="A167" sqref="A167:B167"/>
    </sheetView>
  </sheetViews>
  <sheetFormatPr defaultColWidth="9.140625" defaultRowHeight="13.5"/>
  <cols>
    <col min="1" max="1" width="27" style="47" customWidth="1"/>
    <col min="2" max="2" width="57" style="48" customWidth="1"/>
    <col min="3" max="3" width="15.85546875" style="24" customWidth="1"/>
    <col min="4" max="4" width="13.42578125" style="43" bestFit="1" customWidth="1"/>
    <col min="5" max="5" width="12.5703125" style="43" customWidth="1"/>
    <col min="6" max="6" width="15.28515625" style="43" bestFit="1" customWidth="1"/>
    <col min="7" max="7" width="11.5703125" style="43" bestFit="1" customWidth="1"/>
    <col min="8" max="8" width="9.42578125" style="43" bestFit="1" customWidth="1"/>
    <col min="9" max="9" width="8.140625" style="43" bestFit="1" customWidth="1"/>
    <col min="10" max="16384" width="9.140625" style="43"/>
  </cols>
  <sheetData>
    <row r="1" spans="1:10" s="1" customFormat="1">
      <c r="A1" s="137" t="s">
        <v>0</v>
      </c>
      <c r="B1" s="137"/>
      <c r="C1" s="137"/>
      <c r="D1" s="137"/>
      <c r="E1" s="137"/>
      <c r="F1" s="137"/>
      <c r="G1" s="137"/>
      <c r="H1" s="137"/>
      <c r="I1" s="137"/>
      <c r="J1" s="40"/>
    </row>
    <row r="2" spans="1:10" s="1" customFormat="1" ht="12.95" customHeight="1">
      <c r="A2" s="138" t="s">
        <v>1</v>
      </c>
      <c r="B2" s="138"/>
      <c r="C2" s="138"/>
      <c r="D2" s="138"/>
      <c r="E2" s="138"/>
      <c r="F2" s="138"/>
      <c r="G2" s="138"/>
      <c r="H2" s="138"/>
      <c r="I2" s="138"/>
      <c r="J2" s="40"/>
    </row>
    <row r="3" spans="1:10" s="1" customFormat="1" ht="12.75" customHeight="1">
      <c r="A3" s="139" t="s">
        <v>206</v>
      </c>
      <c r="B3" s="139"/>
      <c r="C3" s="139"/>
      <c r="D3" s="139"/>
      <c r="E3" s="139"/>
      <c r="F3" s="139"/>
      <c r="G3" s="139"/>
      <c r="H3" s="139"/>
      <c r="I3" s="139"/>
      <c r="J3" s="40"/>
    </row>
    <row r="4" spans="1:10" s="56" customFormat="1" ht="38.25">
      <c r="A4" s="39" t="s">
        <v>2</v>
      </c>
      <c r="B4" s="51" t="s">
        <v>54</v>
      </c>
      <c r="C4" s="52" t="s">
        <v>55</v>
      </c>
      <c r="D4" s="53" t="s">
        <v>65</v>
      </c>
      <c r="E4" s="54" t="s">
        <v>56</v>
      </c>
      <c r="F4" s="55" t="s">
        <v>57</v>
      </c>
      <c r="G4" s="39" t="s">
        <v>58</v>
      </c>
      <c r="H4" s="39" t="s">
        <v>59</v>
      </c>
      <c r="I4" s="39" t="s">
        <v>60</v>
      </c>
      <c r="J4" s="39" t="s">
        <v>61</v>
      </c>
    </row>
    <row r="5" spans="1:10">
      <c r="A5" s="57"/>
      <c r="B5" s="58" t="s">
        <v>3</v>
      </c>
      <c r="C5" s="57"/>
      <c r="D5" s="57"/>
      <c r="E5" s="57"/>
      <c r="F5" s="59"/>
      <c r="G5" s="60"/>
      <c r="H5" s="57"/>
      <c r="I5" s="61"/>
      <c r="J5" s="41"/>
    </row>
    <row r="6" spans="1:10" ht="17.45" customHeight="1">
      <c r="A6" s="62"/>
      <c r="B6" s="58" t="s">
        <v>4</v>
      </c>
      <c r="C6" s="62"/>
      <c r="D6" s="63"/>
      <c r="E6" s="64" t="s">
        <v>7</v>
      </c>
      <c r="F6" s="65" t="s">
        <v>7</v>
      </c>
      <c r="G6" s="61"/>
      <c r="H6" s="62"/>
      <c r="I6" s="61"/>
      <c r="J6" s="41"/>
    </row>
    <row r="7" spans="1:10">
      <c r="A7" s="57"/>
      <c r="B7" s="58" t="s">
        <v>5</v>
      </c>
      <c r="C7" s="57"/>
      <c r="D7" s="69"/>
      <c r="E7" s="70" t="s">
        <v>7</v>
      </c>
      <c r="F7" s="71" t="s">
        <v>7</v>
      </c>
      <c r="G7" s="72"/>
      <c r="H7" s="71"/>
      <c r="I7" s="86"/>
      <c r="J7" s="41"/>
    </row>
    <row r="8" spans="1:10">
      <c r="A8" s="73"/>
      <c r="B8" s="58" t="s">
        <v>6</v>
      </c>
      <c r="C8" s="73"/>
      <c r="D8" s="74"/>
      <c r="E8" s="66"/>
      <c r="F8" s="66"/>
      <c r="G8" s="72"/>
      <c r="H8" s="71"/>
      <c r="I8" s="86"/>
      <c r="J8" s="41"/>
    </row>
    <row r="9" spans="1:10">
      <c r="A9" s="75"/>
      <c r="B9" s="58" t="s">
        <v>5</v>
      </c>
      <c r="C9" s="75"/>
      <c r="D9" s="75"/>
      <c r="E9" s="66" t="s">
        <v>7</v>
      </c>
      <c r="F9" s="66" t="s">
        <v>7</v>
      </c>
      <c r="G9" s="76"/>
      <c r="H9" s="75"/>
      <c r="I9" s="86"/>
      <c r="J9" s="41"/>
    </row>
    <row r="10" spans="1:10">
      <c r="A10" s="75"/>
      <c r="B10" s="58" t="s">
        <v>8</v>
      </c>
      <c r="C10" s="75"/>
      <c r="D10" s="76"/>
      <c r="E10" s="66" t="s">
        <v>7</v>
      </c>
      <c r="F10" s="66" t="s">
        <v>7</v>
      </c>
      <c r="G10" s="77"/>
      <c r="H10" s="77"/>
      <c r="I10" s="86"/>
      <c r="J10" s="41"/>
    </row>
    <row r="11" spans="1:10">
      <c r="A11" s="73"/>
      <c r="B11" s="58" t="s">
        <v>5</v>
      </c>
      <c r="C11" s="73"/>
      <c r="D11" s="74"/>
      <c r="E11" s="70" t="s">
        <v>7</v>
      </c>
      <c r="F11" s="71" t="s">
        <v>7</v>
      </c>
      <c r="G11" s="78"/>
      <c r="H11" s="79"/>
      <c r="I11" s="86"/>
      <c r="J11" s="41"/>
    </row>
    <row r="12" spans="1:10">
      <c r="A12" s="73"/>
      <c r="B12" s="58" t="s">
        <v>9</v>
      </c>
      <c r="C12" s="73"/>
      <c r="D12" s="74"/>
      <c r="E12" s="66" t="s">
        <v>7</v>
      </c>
      <c r="F12" s="66" t="s">
        <v>7</v>
      </c>
      <c r="G12" s="78"/>
      <c r="H12" s="79"/>
      <c r="I12" s="86"/>
      <c r="J12" s="41"/>
    </row>
    <row r="13" spans="1:10">
      <c r="A13" s="73"/>
      <c r="B13" s="58" t="s">
        <v>5</v>
      </c>
      <c r="C13" s="73"/>
      <c r="D13" s="74"/>
      <c r="E13" s="70" t="s">
        <v>7</v>
      </c>
      <c r="F13" s="71" t="s">
        <v>7</v>
      </c>
      <c r="G13" s="72"/>
      <c r="H13" s="71"/>
      <c r="I13" s="86"/>
      <c r="J13" s="41"/>
    </row>
    <row r="14" spans="1:10">
      <c r="A14" s="73"/>
      <c r="B14" s="80" t="s">
        <v>10</v>
      </c>
      <c r="C14" s="73"/>
      <c r="D14" s="74"/>
      <c r="E14" s="70" t="s">
        <v>7</v>
      </c>
      <c r="F14" s="71" t="s">
        <v>7</v>
      </c>
      <c r="G14" s="72"/>
      <c r="H14" s="71"/>
      <c r="I14" s="86"/>
      <c r="J14" s="41"/>
    </row>
    <row r="15" spans="1:10">
      <c r="A15" s="75"/>
      <c r="B15" s="75"/>
      <c r="C15" s="75"/>
      <c r="D15" s="81"/>
      <c r="E15" s="81"/>
      <c r="F15" s="82"/>
      <c r="G15" s="77"/>
      <c r="H15" s="77"/>
      <c r="I15" s="86"/>
      <c r="J15" s="41"/>
    </row>
    <row r="16" spans="1:10">
      <c r="A16" s="73"/>
      <c r="B16" s="58" t="s">
        <v>11</v>
      </c>
      <c r="C16" s="73"/>
      <c r="D16" s="74"/>
      <c r="E16" s="83"/>
      <c r="F16" s="65"/>
      <c r="G16" s="72"/>
      <c r="H16" s="71"/>
      <c r="I16" s="86"/>
      <c r="J16" s="41"/>
    </row>
    <row r="17" spans="1:10">
      <c r="A17" s="73"/>
      <c r="B17" s="58" t="s">
        <v>12</v>
      </c>
      <c r="C17" s="73"/>
      <c r="D17" s="74"/>
      <c r="E17" s="83"/>
      <c r="F17" s="65"/>
      <c r="G17" s="72"/>
      <c r="H17" s="71"/>
      <c r="I17" s="86"/>
      <c r="J17" s="41"/>
    </row>
    <row r="18" spans="1:10">
      <c r="A18" s="62" t="s">
        <v>145</v>
      </c>
      <c r="B18" s="62" t="s">
        <v>146</v>
      </c>
      <c r="C18" s="62" t="s">
        <v>13</v>
      </c>
      <c r="D18" s="67">
        <v>10000000</v>
      </c>
      <c r="E18" s="67">
        <v>9887.43</v>
      </c>
      <c r="F18" s="68">
        <v>5.6738729065587384E-2</v>
      </c>
      <c r="G18" s="72" t="s">
        <v>147</v>
      </c>
      <c r="H18" s="71"/>
      <c r="I18" s="113" t="s">
        <v>148</v>
      </c>
      <c r="J18" s="41"/>
    </row>
    <row r="19" spans="1:10">
      <c r="A19" s="62" t="s">
        <v>120</v>
      </c>
      <c r="B19" s="62" t="s">
        <v>121</v>
      </c>
      <c r="C19" s="62" t="s">
        <v>13</v>
      </c>
      <c r="D19" s="67">
        <v>200000</v>
      </c>
      <c r="E19" s="67">
        <v>198.149</v>
      </c>
      <c r="F19" s="68">
        <v>1.1370722650493681E-3</v>
      </c>
      <c r="G19" s="72" t="s">
        <v>122</v>
      </c>
      <c r="H19" s="71"/>
      <c r="I19" s="113" t="s">
        <v>149</v>
      </c>
      <c r="J19" s="41"/>
    </row>
    <row r="20" spans="1:10">
      <c r="A20" s="57"/>
      <c r="B20" s="58" t="s">
        <v>5</v>
      </c>
      <c r="C20" s="57"/>
      <c r="D20" s="69"/>
      <c r="E20" s="64">
        <v>10085.579</v>
      </c>
      <c r="F20" s="71">
        <v>5.7875801330636752E-2</v>
      </c>
      <c r="G20" s="84"/>
      <c r="H20" s="85"/>
      <c r="I20" s="86"/>
      <c r="J20" s="41"/>
    </row>
    <row r="21" spans="1:10">
      <c r="A21" s="73"/>
      <c r="B21" s="58" t="s">
        <v>14</v>
      </c>
      <c r="C21" s="73"/>
      <c r="D21" s="74"/>
      <c r="E21" s="83"/>
      <c r="F21" s="65"/>
      <c r="G21" s="72"/>
      <c r="H21" s="71"/>
      <c r="I21" s="86"/>
      <c r="J21" s="41"/>
    </row>
    <row r="22" spans="1:10">
      <c r="A22" s="62" t="s">
        <v>131</v>
      </c>
      <c r="B22" s="62" t="s">
        <v>132</v>
      </c>
      <c r="C22" s="62" t="s">
        <v>15</v>
      </c>
      <c r="D22" s="67">
        <v>10000000</v>
      </c>
      <c r="E22" s="67">
        <v>9876.19</v>
      </c>
      <c r="F22" s="68">
        <v>5.6674228652972863E-2</v>
      </c>
      <c r="G22" s="72" t="s">
        <v>122</v>
      </c>
      <c r="H22" s="71"/>
      <c r="I22" s="113" t="s">
        <v>153</v>
      </c>
      <c r="J22" s="41"/>
    </row>
    <row r="23" spans="1:10">
      <c r="A23" s="62" t="s">
        <v>165</v>
      </c>
      <c r="B23" s="62" t="s">
        <v>166</v>
      </c>
      <c r="C23" s="62" t="s">
        <v>15</v>
      </c>
      <c r="D23" s="67">
        <v>10000000</v>
      </c>
      <c r="E23" s="67">
        <v>9865.4699999999993</v>
      </c>
      <c r="F23" s="68">
        <v>5.6612712245212395E-2</v>
      </c>
      <c r="G23" s="72" t="s">
        <v>167</v>
      </c>
      <c r="H23" s="71"/>
      <c r="I23" s="113" t="s">
        <v>168</v>
      </c>
      <c r="J23" s="41"/>
    </row>
    <row r="24" spans="1:10">
      <c r="A24" s="62" t="s">
        <v>103</v>
      </c>
      <c r="B24" s="62" t="s">
        <v>104</v>
      </c>
      <c r="C24" s="62" t="s">
        <v>15</v>
      </c>
      <c r="D24" s="67">
        <v>5000000</v>
      </c>
      <c r="E24" s="67">
        <v>4999.17</v>
      </c>
      <c r="F24" s="68">
        <v>2.8687591435065784E-2</v>
      </c>
      <c r="G24" s="72" t="s">
        <v>105</v>
      </c>
      <c r="H24" s="71"/>
      <c r="I24" s="113" t="s">
        <v>164</v>
      </c>
      <c r="J24" s="41"/>
    </row>
    <row r="25" spans="1:10">
      <c r="A25" s="62" t="s">
        <v>160</v>
      </c>
      <c r="B25" s="62" t="s">
        <v>161</v>
      </c>
      <c r="C25" s="62" t="s">
        <v>16</v>
      </c>
      <c r="D25" s="67">
        <v>5000000</v>
      </c>
      <c r="E25" s="67">
        <v>4993.2150000000001</v>
      </c>
      <c r="F25" s="68">
        <v>2.865341884101601E-2</v>
      </c>
      <c r="G25" s="72" t="s">
        <v>162</v>
      </c>
      <c r="H25" s="71"/>
      <c r="I25" s="113">
        <v>6.2E-2</v>
      </c>
      <c r="J25" s="41"/>
    </row>
    <row r="26" spans="1:10">
      <c r="A26" s="62" t="s">
        <v>107</v>
      </c>
      <c r="B26" s="62" t="s">
        <v>108</v>
      </c>
      <c r="C26" s="62" t="s">
        <v>68</v>
      </c>
      <c r="D26" s="67">
        <v>5000000</v>
      </c>
      <c r="E26" s="67">
        <v>4992.16</v>
      </c>
      <c r="F26" s="68">
        <v>2.8647364754244807E-2</v>
      </c>
      <c r="G26" s="72" t="s">
        <v>109</v>
      </c>
      <c r="H26" s="71"/>
      <c r="I26" s="113" t="s">
        <v>154</v>
      </c>
      <c r="J26" s="41"/>
    </row>
    <row r="27" spans="1:10">
      <c r="A27" s="62" t="s">
        <v>116</v>
      </c>
      <c r="B27" s="62" t="s">
        <v>117</v>
      </c>
      <c r="C27" s="62" t="s">
        <v>16</v>
      </c>
      <c r="D27" s="67">
        <v>5000000</v>
      </c>
      <c r="E27" s="67">
        <v>4987.9250000000002</v>
      </c>
      <c r="F27" s="68">
        <v>2.8623062330096895E-2</v>
      </c>
      <c r="G27" s="72" t="s">
        <v>115</v>
      </c>
      <c r="H27" s="71"/>
      <c r="I27" s="113" t="s">
        <v>163</v>
      </c>
      <c r="J27" s="41"/>
    </row>
    <row r="28" spans="1:10">
      <c r="A28" s="62" t="s">
        <v>113</v>
      </c>
      <c r="B28" s="62" t="s">
        <v>114</v>
      </c>
      <c r="C28" s="62" t="s">
        <v>15</v>
      </c>
      <c r="D28" s="67">
        <v>5000000</v>
      </c>
      <c r="E28" s="67">
        <v>4986.915</v>
      </c>
      <c r="F28" s="68">
        <v>2.8617266474514985E-2</v>
      </c>
      <c r="G28" s="72" t="s">
        <v>115</v>
      </c>
      <c r="H28" s="71"/>
      <c r="I28" s="113" t="s">
        <v>159</v>
      </c>
      <c r="J28" s="41"/>
    </row>
    <row r="29" spans="1:10">
      <c r="A29" s="62" t="s">
        <v>128</v>
      </c>
      <c r="B29" s="62" t="s">
        <v>129</v>
      </c>
      <c r="C29" s="62" t="s">
        <v>16</v>
      </c>
      <c r="D29" s="67">
        <v>5000000</v>
      </c>
      <c r="E29" s="67">
        <v>4956.0950000000003</v>
      </c>
      <c r="F29" s="68">
        <v>2.8440406802203638E-2</v>
      </c>
      <c r="G29" s="72" t="s">
        <v>130</v>
      </c>
      <c r="H29" s="71"/>
      <c r="I29" s="113" t="s">
        <v>157</v>
      </c>
      <c r="J29" s="41"/>
    </row>
    <row r="30" spans="1:10">
      <c r="A30" s="62" t="s">
        <v>123</v>
      </c>
      <c r="B30" s="62" t="s">
        <v>124</v>
      </c>
      <c r="C30" s="62" t="s">
        <v>15</v>
      </c>
      <c r="D30" s="67">
        <v>5000000</v>
      </c>
      <c r="E30" s="67">
        <v>4934.665</v>
      </c>
      <c r="F30" s="68">
        <v>2.8317431371391432E-2</v>
      </c>
      <c r="G30" s="72" t="s">
        <v>125</v>
      </c>
      <c r="H30" s="71"/>
      <c r="I30" s="113" t="s">
        <v>151</v>
      </c>
      <c r="J30" s="41"/>
    </row>
    <row r="31" spans="1:10">
      <c r="A31" s="62" t="s">
        <v>133</v>
      </c>
      <c r="B31" s="62" t="s">
        <v>134</v>
      </c>
      <c r="C31" s="62" t="s">
        <v>15</v>
      </c>
      <c r="D31" s="67">
        <v>5000000</v>
      </c>
      <c r="E31" s="67">
        <v>4929.8999999999996</v>
      </c>
      <c r="F31" s="68">
        <v>2.8290087557680737E-2</v>
      </c>
      <c r="G31" s="72" t="s">
        <v>125</v>
      </c>
      <c r="H31" s="71"/>
      <c r="I31" s="113" t="s">
        <v>150</v>
      </c>
      <c r="J31" s="41"/>
    </row>
    <row r="32" spans="1:10">
      <c r="A32" s="62" t="s">
        <v>126</v>
      </c>
      <c r="B32" s="62" t="s">
        <v>127</v>
      </c>
      <c r="C32" s="62" t="s">
        <v>16</v>
      </c>
      <c r="D32" s="67">
        <v>2500000</v>
      </c>
      <c r="E32" s="67">
        <v>2493.2950000000001</v>
      </c>
      <c r="F32" s="68">
        <v>1.4307700735740602E-2</v>
      </c>
      <c r="G32" s="72" t="s">
        <v>115</v>
      </c>
      <c r="H32" s="71"/>
      <c r="I32" s="113" t="s">
        <v>158</v>
      </c>
      <c r="J32" s="41"/>
    </row>
    <row r="33" spans="1:10">
      <c r="A33" s="62" t="s">
        <v>118</v>
      </c>
      <c r="B33" s="62" t="s">
        <v>119</v>
      </c>
      <c r="C33" s="62" t="s">
        <v>15</v>
      </c>
      <c r="D33" s="67">
        <v>2000000</v>
      </c>
      <c r="E33" s="67">
        <v>1997.846</v>
      </c>
      <c r="F33" s="68">
        <v>1.1464581080095383E-2</v>
      </c>
      <c r="G33" s="72" t="s">
        <v>106</v>
      </c>
      <c r="H33" s="71"/>
      <c r="I33" s="113" t="s">
        <v>152</v>
      </c>
      <c r="J33" s="41"/>
    </row>
    <row r="34" spans="1:10">
      <c r="A34" s="62" t="s">
        <v>110</v>
      </c>
      <c r="B34" s="62" t="s">
        <v>155</v>
      </c>
      <c r="C34" s="62" t="s">
        <v>15</v>
      </c>
      <c r="D34" s="67">
        <v>1000000</v>
      </c>
      <c r="E34" s="67">
        <v>1000</v>
      </c>
      <c r="F34" s="68">
        <v>5.7384708731781043E-3</v>
      </c>
      <c r="G34" s="72" t="s">
        <v>111</v>
      </c>
      <c r="H34" s="71"/>
      <c r="I34" s="113" t="s">
        <v>156</v>
      </c>
      <c r="J34" s="41"/>
    </row>
    <row r="35" spans="1:10">
      <c r="A35" s="57"/>
      <c r="B35" s="58" t="s">
        <v>5</v>
      </c>
      <c r="C35" s="57"/>
      <c r="D35" s="69"/>
      <c r="E35" s="64">
        <v>65012.846000000005</v>
      </c>
      <c r="F35" s="71">
        <v>0.37307432315341366</v>
      </c>
      <c r="G35" s="84"/>
      <c r="H35" s="85"/>
      <c r="I35" s="86"/>
      <c r="J35" s="41"/>
    </row>
    <row r="36" spans="1:10">
      <c r="A36" s="73"/>
      <c r="B36" s="58" t="s">
        <v>17</v>
      </c>
      <c r="C36" s="73"/>
      <c r="D36" s="74"/>
      <c r="E36" s="83"/>
      <c r="F36" s="65"/>
      <c r="G36" s="72"/>
      <c r="H36" s="71"/>
      <c r="I36" s="86"/>
      <c r="J36" s="41"/>
    </row>
    <row r="37" spans="1:10">
      <c r="A37" s="62" t="s">
        <v>192</v>
      </c>
      <c r="B37" s="62" t="s">
        <v>193</v>
      </c>
      <c r="C37" s="62" t="s">
        <v>15</v>
      </c>
      <c r="D37" s="67">
        <v>10000000</v>
      </c>
      <c r="E37" s="67">
        <v>9976.91</v>
      </c>
      <c r="F37" s="68">
        <v>5.7252207439319365E-2</v>
      </c>
      <c r="G37" s="72" t="s">
        <v>115</v>
      </c>
      <c r="H37" s="71"/>
      <c r="I37" s="86" t="s">
        <v>194</v>
      </c>
      <c r="J37" s="41"/>
    </row>
    <row r="38" spans="1:10">
      <c r="A38" s="62" t="s">
        <v>135</v>
      </c>
      <c r="B38" s="62" t="s">
        <v>136</v>
      </c>
      <c r="C38" s="62" t="s">
        <v>16</v>
      </c>
      <c r="D38" s="67">
        <v>10000000</v>
      </c>
      <c r="E38" s="67">
        <v>9877.42</v>
      </c>
      <c r="F38" s="68">
        <v>5.6681286972146874E-2</v>
      </c>
      <c r="G38" s="72" t="s">
        <v>137</v>
      </c>
      <c r="H38" s="71"/>
      <c r="I38" s="86" t="s">
        <v>168</v>
      </c>
      <c r="J38" s="41"/>
    </row>
    <row r="39" spans="1:10">
      <c r="A39" s="62" t="s">
        <v>143</v>
      </c>
      <c r="B39" s="62" t="s">
        <v>197</v>
      </c>
      <c r="C39" s="62" t="s">
        <v>16</v>
      </c>
      <c r="D39" s="67">
        <v>7500000</v>
      </c>
      <c r="E39" s="67">
        <v>7413.6075000000001</v>
      </c>
      <c r="F39" s="68">
        <v>4.2542770703924745E-2</v>
      </c>
      <c r="G39" s="72" t="s">
        <v>144</v>
      </c>
      <c r="H39" s="71"/>
      <c r="I39" s="86" t="s">
        <v>175</v>
      </c>
      <c r="J39" s="41"/>
    </row>
    <row r="40" spans="1:10">
      <c r="A40" s="62" t="s">
        <v>181</v>
      </c>
      <c r="B40" s="62" t="s">
        <v>182</v>
      </c>
      <c r="C40" s="62" t="s">
        <v>183</v>
      </c>
      <c r="D40" s="67">
        <v>5000000</v>
      </c>
      <c r="E40" s="67">
        <v>4997.5550000000003</v>
      </c>
      <c r="F40" s="68">
        <v>2.8678323804605603E-2</v>
      </c>
      <c r="G40" s="72" t="s">
        <v>184</v>
      </c>
      <c r="H40" s="71"/>
      <c r="I40" s="86" t="s">
        <v>185</v>
      </c>
      <c r="J40" s="41"/>
    </row>
    <row r="41" spans="1:10">
      <c r="A41" s="62" t="s">
        <v>189</v>
      </c>
      <c r="B41" s="62" t="s">
        <v>190</v>
      </c>
      <c r="C41" s="62" t="s">
        <v>15</v>
      </c>
      <c r="D41" s="67">
        <v>5000000</v>
      </c>
      <c r="E41" s="67">
        <v>4988.2349999999997</v>
      </c>
      <c r="F41" s="68">
        <v>2.8624841256067582E-2</v>
      </c>
      <c r="G41" s="72" t="s">
        <v>115</v>
      </c>
      <c r="H41" s="71"/>
      <c r="I41" s="86" t="s">
        <v>191</v>
      </c>
      <c r="J41" s="41"/>
    </row>
    <row r="42" spans="1:10">
      <c r="A42" s="62" t="s">
        <v>177</v>
      </c>
      <c r="B42" s="62" t="s">
        <v>178</v>
      </c>
      <c r="C42" s="62" t="s">
        <v>68</v>
      </c>
      <c r="D42" s="67">
        <v>5000000</v>
      </c>
      <c r="E42" s="67">
        <v>4980.8549999999996</v>
      </c>
      <c r="F42" s="68">
        <v>2.8582491341023527E-2</v>
      </c>
      <c r="G42" s="72" t="s">
        <v>179</v>
      </c>
      <c r="H42" s="71"/>
      <c r="I42" s="86">
        <v>6.0999999999999999E-2</v>
      </c>
      <c r="J42" s="41"/>
    </row>
    <row r="43" spans="1:10">
      <c r="A43" s="62" t="s">
        <v>139</v>
      </c>
      <c r="B43" s="62" t="s">
        <v>140</v>
      </c>
      <c r="C43" s="62" t="s">
        <v>15</v>
      </c>
      <c r="D43" s="67">
        <v>5000000</v>
      </c>
      <c r="E43" s="67">
        <v>4955.58</v>
      </c>
      <c r="F43" s="68">
        <v>2.843745148970395E-2</v>
      </c>
      <c r="G43" s="72" t="s">
        <v>130</v>
      </c>
      <c r="H43" s="71"/>
      <c r="I43" s="86" t="s">
        <v>176</v>
      </c>
      <c r="J43" s="41"/>
    </row>
    <row r="44" spans="1:10">
      <c r="A44" s="62" t="s">
        <v>141</v>
      </c>
      <c r="B44" s="62" t="s">
        <v>142</v>
      </c>
      <c r="C44" s="62" t="s">
        <v>15</v>
      </c>
      <c r="D44" s="67">
        <v>5000000</v>
      </c>
      <c r="E44" s="67">
        <v>4952.2849999999999</v>
      </c>
      <c r="F44" s="68">
        <v>2.8418543228176829E-2</v>
      </c>
      <c r="G44" s="72" t="s">
        <v>138</v>
      </c>
      <c r="H44" s="71"/>
      <c r="I44" s="86" t="s">
        <v>180</v>
      </c>
      <c r="J44" s="41"/>
    </row>
    <row r="45" spans="1:10">
      <c r="A45" s="62" t="s">
        <v>172</v>
      </c>
      <c r="B45" s="62" t="s">
        <v>173</v>
      </c>
      <c r="C45" s="62" t="s">
        <v>16</v>
      </c>
      <c r="D45" s="67">
        <v>5000000</v>
      </c>
      <c r="E45" s="67">
        <v>4945.8999999999996</v>
      </c>
      <c r="F45" s="68">
        <v>2.8381903091651586E-2</v>
      </c>
      <c r="G45" s="72" t="s">
        <v>174</v>
      </c>
      <c r="H45" s="71"/>
      <c r="I45" s="86" t="s">
        <v>175</v>
      </c>
      <c r="J45" s="41"/>
    </row>
    <row r="46" spans="1:10">
      <c r="A46" s="62" t="s">
        <v>195</v>
      </c>
      <c r="B46" s="62" t="s">
        <v>196</v>
      </c>
      <c r="C46" s="62" t="s">
        <v>15</v>
      </c>
      <c r="D46" s="67">
        <v>5000000</v>
      </c>
      <c r="E46" s="67">
        <v>4938.76</v>
      </c>
      <c r="F46" s="68">
        <v>2.8340930409617094E-2</v>
      </c>
      <c r="G46" s="72" t="s">
        <v>137</v>
      </c>
      <c r="H46" s="71"/>
      <c r="I46" s="86" t="s">
        <v>154</v>
      </c>
      <c r="J46" s="41"/>
    </row>
    <row r="47" spans="1:10">
      <c r="A47" s="62" t="s">
        <v>169</v>
      </c>
      <c r="B47" s="62" t="s">
        <v>170</v>
      </c>
      <c r="C47" s="62" t="s">
        <v>68</v>
      </c>
      <c r="D47" s="67">
        <v>5000000</v>
      </c>
      <c r="E47" s="67">
        <v>4933.59</v>
      </c>
      <c r="F47" s="68">
        <v>2.8311262515202763E-2</v>
      </c>
      <c r="G47" s="72" t="s">
        <v>171</v>
      </c>
      <c r="H47" s="71"/>
      <c r="I47" s="86" t="s">
        <v>168</v>
      </c>
      <c r="J47" s="41"/>
    </row>
    <row r="48" spans="1:10">
      <c r="A48" s="62" t="s">
        <v>198</v>
      </c>
      <c r="B48" s="62" t="s">
        <v>199</v>
      </c>
      <c r="C48" s="62" t="s">
        <v>15</v>
      </c>
      <c r="D48" s="67">
        <v>5000000</v>
      </c>
      <c r="E48" s="67">
        <v>4925.7250000000004</v>
      </c>
      <c r="F48" s="68">
        <v>2.8266129441785217E-2</v>
      </c>
      <c r="G48" s="72" t="s">
        <v>200</v>
      </c>
      <c r="H48" s="71"/>
      <c r="I48" s="86">
        <v>6.4000000000000001E-2</v>
      </c>
      <c r="J48" s="41"/>
    </row>
    <row r="49" spans="1:10">
      <c r="A49" s="62" t="s">
        <v>186</v>
      </c>
      <c r="B49" s="62" t="s">
        <v>187</v>
      </c>
      <c r="C49" s="62" t="s">
        <v>15</v>
      </c>
      <c r="D49" s="67">
        <v>2000000</v>
      </c>
      <c r="E49" s="67">
        <v>2000</v>
      </c>
      <c r="F49" s="68">
        <v>1.1476941746356209E-2</v>
      </c>
      <c r="G49" s="72" t="s">
        <v>111</v>
      </c>
      <c r="H49" s="71"/>
      <c r="I49" s="86" t="s">
        <v>188</v>
      </c>
      <c r="J49" s="41"/>
    </row>
    <row r="50" spans="1:10">
      <c r="A50" s="57"/>
      <c r="B50" s="58" t="s">
        <v>5</v>
      </c>
      <c r="C50" s="57"/>
      <c r="D50" s="69"/>
      <c r="E50" s="64">
        <v>73886.422500000015</v>
      </c>
      <c r="F50" s="71">
        <v>0.42399508343958137</v>
      </c>
      <c r="G50" s="84"/>
      <c r="H50" s="85"/>
      <c r="I50" s="86"/>
      <c r="J50" s="41"/>
    </row>
    <row r="51" spans="1:10">
      <c r="A51" s="73"/>
      <c r="B51" s="73" t="s">
        <v>10</v>
      </c>
      <c r="C51" s="73"/>
      <c r="D51" s="74"/>
      <c r="E51" s="64">
        <f>E50+E35+E20</f>
        <v>148984.8475</v>
      </c>
      <c r="F51" s="87">
        <f>F50+F35+F20</f>
        <v>0.85494520792363182</v>
      </c>
      <c r="G51" s="72"/>
      <c r="H51" s="71"/>
      <c r="I51" s="86"/>
      <c r="J51" s="41"/>
    </row>
    <row r="52" spans="1:10">
      <c r="A52" s="73"/>
      <c r="B52" s="73"/>
      <c r="C52" s="73"/>
      <c r="D52" s="74"/>
      <c r="E52" s="64"/>
      <c r="F52" s="71"/>
      <c r="G52" s="72"/>
      <c r="H52" s="71"/>
      <c r="I52" s="86"/>
      <c r="J52" s="41"/>
    </row>
    <row r="53" spans="1:10">
      <c r="A53" s="73"/>
      <c r="B53" s="88" t="s">
        <v>66</v>
      </c>
      <c r="C53" s="73"/>
      <c r="D53" s="74"/>
      <c r="E53" s="74"/>
      <c r="F53" s="65"/>
      <c r="G53" s="72"/>
      <c r="H53" s="71"/>
      <c r="I53" s="86"/>
      <c r="J53" s="41"/>
    </row>
    <row r="54" spans="1:10">
      <c r="A54" s="62" t="s">
        <v>18</v>
      </c>
      <c r="B54" s="89" t="s">
        <v>67</v>
      </c>
      <c r="C54" s="57"/>
      <c r="D54" s="67">
        <v>7050.085</v>
      </c>
      <c r="E54" s="67">
        <v>843.93943490000004</v>
      </c>
      <c r="F54" s="68">
        <v>4.8429218659000392E-3</v>
      </c>
      <c r="G54" s="72"/>
      <c r="H54" s="71"/>
      <c r="I54" s="86">
        <v>5.6000000000000001E-2</v>
      </c>
      <c r="J54" s="41"/>
    </row>
    <row r="55" spans="1:10">
      <c r="A55" s="73"/>
      <c r="B55" s="58" t="s">
        <v>10</v>
      </c>
      <c r="C55" s="73"/>
      <c r="D55" s="74"/>
      <c r="E55" s="64">
        <v>843.93943490000004</v>
      </c>
      <c r="F55" s="71">
        <v>4.8429218659000392E-3</v>
      </c>
      <c r="G55" s="72"/>
      <c r="H55" s="71"/>
      <c r="I55" s="86"/>
      <c r="J55" s="41"/>
    </row>
    <row r="56" spans="1:10">
      <c r="A56" s="73"/>
      <c r="B56" s="73"/>
      <c r="C56" s="73"/>
      <c r="D56" s="74"/>
      <c r="E56" s="74"/>
      <c r="F56" s="65"/>
      <c r="G56" s="72"/>
      <c r="H56" s="71"/>
      <c r="I56" s="86"/>
      <c r="J56" s="41"/>
    </row>
    <row r="57" spans="1:10">
      <c r="A57" s="73"/>
      <c r="B57" s="88" t="s">
        <v>19</v>
      </c>
      <c r="C57" s="73"/>
      <c r="D57" s="74"/>
      <c r="E57" s="74"/>
      <c r="F57" s="65"/>
      <c r="G57" s="72"/>
      <c r="H57" s="71"/>
      <c r="I57" s="86"/>
      <c r="J57" s="41"/>
    </row>
    <row r="58" spans="1:10">
      <c r="A58" s="62"/>
      <c r="B58" s="62" t="s">
        <v>20</v>
      </c>
      <c r="C58" s="62"/>
      <c r="D58" s="67">
        <v>218433.31839999999</v>
      </c>
      <c r="E58" s="67">
        <v>21843.331839999999</v>
      </c>
      <c r="F58" s="68">
        <v>0.1253473235370039</v>
      </c>
      <c r="G58" s="72" t="s">
        <v>111</v>
      </c>
      <c r="H58" s="71"/>
      <c r="I58" s="90">
        <v>4.9384659999999997E-2</v>
      </c>
      <c r="J58" s="41"/>
    </row>
    <row r="59" spans="1:10">
      <c r="A59" s="73"/>
      <c r="B59" s="88" t="s">
        <v>10</v>
      </c>
      <c r="C59" s="73"/>
      <c r="D59" s="74"/>
      <c r="E59" s="64">
        <v>21843.331839999999</v>
      </c>
      <c r="F59" s="71">
        <v>0.1253473235370039</v>
      </c>
      <c r="G59" s="72"/>
      <c r="H59" s="71"/>
      <c r="I59" s="61"/>
      <c r="J59" s="41"/>
    </row>
    <row r="60" spans="1:10">
      <c r="A60" s="73"/>
      <c r="B60" s="88"/>
      <c r="C60" s="73"/>
      <c r="D60" s="74"/>
      <c r="E60" s="74"/>
      <c r="F60" s="65"/>
      <c r="G60" s="72"/>
      <c r="H60" s="71"/>
      <c r="I60" s="61"/>
      <c r="J60" s="41"/>
    </row>
    <row r="61" spans="1:10">
      <c r="A61" s="73"/>
      <c r="B61" s="88" t="s">
        <v>21</v>
      </c>
      <c r="C61" s="73"/>
      <c r="D61" s="74"/>
      <c r="E61" s="74"/>
      <c r="F61" s="65"/>
      <c r="G61" s="72"/>
      <c r="H61" s="71"/>
      <c r="I61" s="61"/>
      <c r="J61" s="41"/>
    </row>
    <row r="62" spans="1:10">
      <c r="A62" s="57"/>
      <c r="B62" s="88" t="s">
        <v>22</v>
      </c>
      <c r="C62" s="57"/>
      <c r="D62" s="69"/>
      <c r="E62" s="69">
        <v>2590.3323380000002</v>
      </c>
      <c r="F62" s="68">
        <v>1.4864546673464341E-2</v>
      </c>
      <c r="G62" s="72"/>
      <c r="H62" s="72"/>
      <c r="I62" s="61"/>
      <c r="J62" s="41"/>
    </row>
    <row r="63" spans="1:10">
      <c r="A63" s="73"/>
      <c r="B63" s="88" t="s">
        <v>10</v>
      </c>
      <c r="C63" s="73"/>
      <c r="D63" s="74"/>
      <c r="E63" s="74">
        <v>2590.3323380000002</v>
      </c>
      <c r="F63" s="71">
        <v>1.4864546673464341E-2</v>
      </c>
      <c r="G63" s="91"/>
      <c r="H63" s="92"/>
      <c r="I63" s="61"/>
      <c r="J63" s="41"/>
    </row>
    <row r="64" spans="1:10">
      <c r="A64" s="93"/>
      <c r="B64" s="88" t="s">
        <v>23</v>
      </c>
      <c r="C64" s="93"/>
      <c r="D64" s="93"/>
      <c r="E64" s="74">
        <f>E63+E59+E55+E51</f>
        <v>174262.45111289999</v>
      </c>
      <c r="F64" s="94">
        <v>1</v>
      </c>
      <c r="G64" s="95"/>
      <c r="H64" s="93"/>
      <c r="I64" s="61"/>
      <c r="J64" s="41"/>
    </row>
    <row r="65" spans="1:11">
      <c r="A65" s="42"/>
      <c r="B65" s="45"/>
      <c r="C65" s="42"/>
      <c r="D65" s="42"/>
      <c r="E65" s="42"/>
      <c r="F65" s="42"/>
      <c r="G65" s="42"/>
      <c r="H65" s="42"/>
    </row>
    <row r="67" spans="1:11" ht="14.25">
      <c r="A67" s="46" t="s">
        <v>52</v>
      </c>
      <c r="B67" s="42"/>
      <c r="C67" s="42"/>
      <c r="D67" s="42"/>
      <c r="E67" s="42"/>
      <c r="F67" s="42"/>
      <c r="G67" s="42"/>
      <c r="H67" s="42"/>
      <c r="I67" s="42"/>
      <c r="J67" s="42"/>
      <c r="K67" s="1"/>
    </row>
    <row r="68" spans="1:11" ht="14.25">
      <c r="A68" s="46"/>
      <c r="B68" s="42"/>
      <c r="C68" s="42"/>
      <c r="D68" s="42"/>
      <c r="E68" s="42"/>
      <c r="F68" s="42"/>
      <c r="G68" s="42"/>
      <c r="H68" s="42"/>
      <c r="I68" s="42"/>
      <c r="J68" s="42"/>
      <c r="K68" s="1"/>
    </row>
    <row r="69" spans="1:11" ht="14.25">
      <c r="A69" s="46" t="s">
        <v>53</v>
      </c>
      <c r="B69" s="42"/>
      <c r="C69" s="42"/>
      <c r="D69" s="42"/>
      <c r="E69" s="42"/>
      <c r="F69" s="42"/>
      <c r="G69" s="42"/>
      <c r="H69" s="42"/>
      <c r="I69" s="42"/>
      <c r="J69" s="42"/>
      <c r="K69" s="1"/>
    </row>
    <row r="70" spans="1:11" ht="14.25">
      <c r="A70" s="4"/>
      <c r="B70" s="5"/>
      <c r="C70" s="2"/>
      <c r="D70" s="3"/>
      <c r="E70" s="3"/>
      <c r="F70" s="6"/>
      <c r="G70" s="7"/>
      <c r="H70" s="42"/>
      <c r="I70" s="42"/>
      <c r="J70" s="42"/>
      <c r="K70" s="1"/>
    </row>
    <row r="71" spans="1:11" ht="14.25">
      <c r="A71" s="9" t="s">
        <v>201</v>
      </c>
      <c r="B71" s="10"/>
      <c r="C71" s="10"/>
      <c r="D71" s="10"/>
      <c r="E71" s="10"/>
      <c r="F71" s="11"/>
      <c r="G71" s="10"/>
      <c r="H71" s="42"/>
      <c r="I71" s="42"/>
      <c r="J71" s="42"/>
      <c r="K71" s="1"/>
    </row>
    <row r="72" spans="1:11" ht="14.25">
      <c r="A72" s="9"/>
      <c r="B72" s="10"/>
      <c r="C72" s="10"/>
      <c r="D72" s="10"/>
      <c r="E72" s="10"/>
      <c r="F72" s="11"/>
      <c r="G72" s="10"/>
      <c r="H72" s="42"/>
      <c r="I72" s="42"/>
      <c r="J72" s="42"/>
      <c r="K72" s="1"/>
    </row>
    <row r="73" spans="1:11" ht="14.25">
      <c r="A73" s="133" t="s">
        <v>202</v>
      </c>
      <c r="B73" s="133"/>
      <c r="C73" s="133"/>
      <c r="D73" s="133"/>
      <c r="E73" s="133"/>
      <c r="F73" s="133"/>
      <c r="G73" s="133"/>
      <c r="H73" s="133"/>
      <c r="J73" s="42"/>
      <c r="K73" s="1"/>
    </row>
    <row r="74" spans="1:11" ht="14.25">
      <c r="A74" s="10"/>
      <c r="B74" s="10"/>
      <c r="C74" s="10"/>
      <c r="D74" s="10"/>
      <c r="E74" s="10"/>
      <c r="F74" s="10"/>
      <c r="G74" s="10"/>
      <c r="H74" s="10"/>
      <c r="J74" s="42"/>
      <c r="K74" s="1"/>
    </row>
    <row r="75" spans="1:11" ht="14.25">
      <c r="A75" s="97" t="s">
        <v>70</v>
      </c>
      <c r="B75" s="98"/>
      <c r="C75" s="98"/>
      <c r="D75" s="98"/>
      <c r="E75" s="10"/>
      <c r="F75" s="11"/>
      <c r="G75" s="10"/>
      <c r="H75" s="10"/>
      <c r="J75" s="42"/>
      <c r="K75" s="1"/>
    </row>
    <row r="76" spans="1:11" ht="14.25">
      <c r="A76" s="43"/>
      <c r="B76" s="99"/>
      <c r="C76" s="100" t="s">
        <v>71</v>
      </c>
      <c r="D76" s="100" t="s">
        <v>71</v>
      </c>
      <c r="E76" s="10"/>
      <c r="F76" s="11"/>
      <c r="G76" s="10"/>
      <c r="H76" s="10"/>
      <c r="J76" s="42"/>
      <c r="K76" s="1"/>
    </row>
    <row r="77" spans="1:11" ht="14.25">
      <c r="A77" s="97" t="s">
        <v>72</v>
      </c>
      <c r="B77" s="99"/>
      <c r="C77" s="101">
        <v>46265</v>
      </c>
      <c r="D77" s="101">
        <v>46234</v>
      </c>
      <c r="E77" s="10"/>
      <c r="F77" s="116"/>
      <c r="G77" s="10"/>
      <c r="H77" s="10"/>
      <c r="J77" s="42"/>
      <c r="K77" s="1"/>
    </row>
    <row r="78" spans="1:11" ht="14.25">
      <c r="A78" s="43" t="s">
        <v>73</v>
      </c>
      <c r="B78" s="99" t="s">
        <v>74</v>
      </c>
      <c r="C78" s="102">
        <v>10.430199999999999</v>
      </c>
      <c r="D78" s="102">
        <v>10.430199999999999</v>
      </c>
      <c r="E78" s="10"/>
      <c r="F78" s="11"/>
      <c r="G78" s="10"/>
      <c r="H78" s="10"/>
      <c r="J78" s="42"/>
      <c r="K78" s="1"/>
    </row>
    <row r="79" spans="1:11" ht="14.25">
      <c r="A79" s="43" t="s">
        <v>75</v>
      </c>
      <c r="B79" s="99" t="s">
        <v>74</v>
      </c>
      <c r="C79" s="102">
        <v>11.0152</v>
      </c>
      <c r="D79" s="102">
        <v>11.0099</v>
      </c>
      <c r="E79" s="10"/>
      <c r="F79" s="11"/>
      <c r="G79" s="10"/>
      <c r="H79" s="10"/>
      <c r="J79" s="42"/>
      <c r="K79" s="1"/>
    </row>
    <row r="80" spans="1:11" ht="14.25">
      <c r="A80" s="43" t="s">
        <v>76</v>
      </c>
      <c r="B80" s="99" t="s">
        <v>74</v>
      </c>
      <c r="C80" s="102">
        <v>43.255499999999998</v>
      </c>
      <c r="D80" s="102">
        <v>43.025199999999998</v>
      </c>
      <c r="E80" s="10"/>
      <c r="F80" s="11"/>
      <c r="G80" s="10"/>
      <c r="H80" s="10"/>
      <c r="J80" s="42"/>
      <c r="K80" s="1"/>
    </row>
    <row r="81" spans="1:11" ht="14.25">
      <c r="A81" s="43" t="s">
        <v>77</v>
      </c>
      <c r="B81" s="99" t="s">
        <v>74</v>
      </c>
      <c r="C81" s="102">
        <v>76.421899999999994</v>
      </c>
      <c r="D81" s="102">
        <v>76.014899999999997</v>
      </c>
      <c r="E81" s="10"/>
      <c r="F81" s="11"/>
      <c r="G81" s="10"/>
      <c r="H81" s="10"/>
      <c r="J81" s="42"/>
      <c r="K81" s="1"/>
    </row>
    <row r="82" spans="1:11" ht="14.25">
      <c r="A82" s="43" t="s">
        <v>78</v>
      </c>
      <c r="B82" s="99" t="s">
        <v>74</v>
      </c>
      <c r="C82" s="102">
        <v>24.470500000000001</v>
      </c>
      <c r="D82" s="102">
        <v>24.340199999999999</v>
      </c>
      <c r="E82" s="10"/>
      <c r="F82" s="11"/>
      <c r="G82" s="10"/>
      <c r="H82" s="10"/>
      <c r="J82" s="42"/>
      <c r="K82" s="1"/>
    </row>
    <row r="83" spans="1:11" ht="14.25">
      <c r="A83" s="43" t="s">
        <v>79</v>
      </c>
      <c r="B83" s="99" t="s">
        <v>74</v>
      </c>
      <c r="C83" s="102">
        <v>43.941899999999997</v>
      </c>
      <c r="D83" s="102">
        <v>43.707700000000003</v>
      </c>
      <c r="E83" s="10"/>
      <c r="F83" s="11"/>
      <c r="G83" s="10"/>
      <c r="H83" s="10"/>
      <c r="J83" s="42"/>
      <c r="K83" s="1"/>
    </row>
    <row r="84" spans="1:11" ht="14.25">
      <c r="A84" s="43" t="s">
        <v>80</v>
      </c>
      <c r="B84" s="99" t="s">
        <v>74</v>
      </c>
      <c r="C84" s="102">
        <v>10.430199999999999</v>
      </c>
      <c r="D84" s="102">
        <v>10.430199999999999</v>
      </c>
      <c r="E84" s="10"/>
      <c r="F84" s="11"/>
      <c r="G84" s="10"/>
      <c r="H84" s="10"/>
      <c r="J84" s="42"/>
      <c r="K84" s="1"/>
    </row>
    <row r="85" spans="1:11" ht="14.25">
      <c r="A85" s="43" t="s">
        <v>81</v>
      </c>
      <c r="B85" s="99" t="s">
        <v>74</v>
      </c>
      <c r="C85" s="102">
        <v>11.017899999999999</v>
      </c>
      <c r="D85" s="102">
        <v>11.0124</v>
      </c>
      <c r="E85" s="10"/>
      <c r="F85" s="11"/>
      <c r="G85" s="10"/>
      <c r="H85" s="10"/>
      <c r="J85" s="42"/>
      <c r="K85" s="1"/>
    </row>
    <row r="86" spans="1:11" ht="14.25">
      <c r="A86" s="43" t="s">
        <v>82</v>
      </c>
      <c r="B86" s="99" t="s">
        <v>74</v>
      </c>
      <c r="C86" s="102">
        <v>43.903399999999998</v>
      </c>
      <c r="D86" s="102">
        <v>43.665900000000001</v>
      </c>
      <c r="E86" s="10"/>
      <c r="F86" s="11"/>
      <c r="G86" s="10"/>
      <c r="H86" s="10"/>
      <c r="J86" s="42"/>
      <c r="K86" s="1"/>
    </row>
    <row r="87" spans="1:11" ht="14.25">
      <c r="A87" s="43" t="s">
        <v>83</v>
      </c>
      <c r="B87" s="99" t="s">
        <v>74</v>
      </c>
      <c r="C87" s="102">
        <v>77.33</v>
      </c>
      <c r="D87" s="102">
        <v>76.911600000000007</v>
      </c>
      <c r="E87" s="10"/>
      <c r="F87" s="11"/>
      <c r="G87" s="10"/>
      <c r="H87" s="10"/>
      <c r="J87" s="42"/>
      <c r="K87" s="1"/>
    </row>
    <row r="88" spans="1:11" ht="14.25">
      <c r="A88" s="43" t="s">
        <v>84</v>
      </c>
      <c r="B88" s="99" t="s">
        <v>74</v>
      </c>
      <c r="C88" s="102">
        <v>41.4437</v>
      </c>
      <c r="D88" s="102">
        <v>41.4437</v>
      </c>
      <c r="E88" s="10"/>
      <c r="F88" s="11"/>
      <c r="G88" s="10"/>
      <c r="H88" s="10"/>
      <c r="J88" s="42"/>
      <c r="K88" s="1"/>
    </row>
    <row r="89" spans="1:11" ht="14.25">
      <c r="A89" s="43" t="s">
        <v>85</v>
      </c>
      <c r="B89" s="99" t="s">
        <v>74</v>
      </c>
      <c r="C89" s="102">
        <v>41.4437</v>
      </c>
      <c r="D89" s="102">
        <v>41.4437</v>
      </c>
      <c r="E89" s="10"/>
      <c r="F89" s="11"/>
      <c r="G89" s="10"/>
      <c r="H89" s="10"/>
      <c r="J89" s="42"/>
      <c r="K89" s="1"/>
    </row>
    <row r="90" spans="1:11" ht="14.25">
      <c r="A90" s="43"/>
      <c r="B90" s="99"/>
      <c r="C90" s="102"/>
      <c r="D90" s="102"/>
      <c r="E90" s="10"/>
      <c r="F90" s="11"/>
      <c r="G90" s="10"/>
      <c r="H90" s="10"/>
      <c r="J90" s="42"/>
      <c r="K90" s="1"/>
    </row>
    <row r="91" spans="1:11" ht="45.75" customHeight="1">
      <c r="A91" s="135" t="s">
        <v>86</v>
      </c>
      <c r="B91" s="135"/>
      <c r="C91" s="135"/>
      <c r="D91" s="135"/>
      <c r="E91" s="135"/>
      <c r="F91" s="135"/>
      <c r="G91" s="135"/>
      <c r="H91" s="96"/>
      <c r="I91" s="96"/>
      <c r="J91" s="96"/>
      <c r="K91" s="103"/>
    </row>
    <row r="92" spans="1:11" ht="14.25">
      <c r="A92" s="132" t="s">
        <v>87</v>
      </c>
      <c r="B92" s="132"/>
      <c r="C92" s="132"/>
      <c r="D92" s="132"/>
      <c r="E92" s="10"/>
      <c r="F92" s="11"/>
      <c r="G92" s="10"/>
      <c r="H92" s="10"/>
      <c r="J92" s="42"/>
      <c r="K92" s="1"/>
    </row>
    <row r="93" spans="1:11" ht="14.25">
      <c r="A93" s="43"/>
      <c r="B93" s="99"/>
      <c r="C93" s="105"/>
      <c r="D93" s="106"/>
      <c r="E93" s="10"/>
      <c r="G93" s="10"/>
      <c r="H93" s="10"/>
      <c r="J93" s="42"/>
      <c r="K93" s="1"/>
    </row>
    <row r="94" spans="1:11" ht="14.25">
      <c r="A94" s="97" t="s">
        <v>204</v>
      </c>
      <c r="B94" s="99"/>
      <c r="C94" s="107"/>
      <c r="E94" s="10"/>
      <c r="F94" s="11"/>
      <c r="G94" s="10"/>
      <c r="H94" s="10"/>
      <c r="J94" s="42"/>
      <c r="K94" s="1"/>
    </row>
    <row r="95" spans="1:11" ht="14.25">
      <c r="A95" s="43" t="s">
        <v>73</v>
      </c>
      <c r="B95" s="99" t="s">
        <v>88</v>
      </c>
      <c r="C95" s="105">
        <v>5.5687700000000021E-2</v>
      </c>
      <c r="D95" s="114"/>
      <c r="E95" s="10"/>
      <c r="F95" s="117"/>
      <c r="G95" s="10"/>
      <c r="H95" s="10"/>
      <c r="J95" s="42"/>
      <c r="K95" s="1"/>
    </row>
    <row r="96" spans="1:11" ht="14.25">
      <c r="A96" s="43" t="s">
        <v>75</v>
      </c>
      <c r="B96" s="99" t="s">
        <v>88</v>
      </c>
      <c r="C96" s="105">
        <v>5.3399999999999996E-2</v>
      </c>
      <c r="D96" s="114"/>
      <c r="E96" s="10"/>
      <c r="F96" s="117"/>
      <c r="G96" s="10"/>
      <c r="H96" s="10"/>
      <c r="J96" s="42"/>
      <c r="K96" s="1"/>
    </row>
    <row r="97" spans="1:11" ht="14.25">
      <c r="A97" s="43" t="s">
        <v>76</v>
      </c>
      <c r="B97" s="99" t="s">
        <v>88</v>
      </c>
      <c r="C97" s="105" t="s">
        <v>112</v>
      </c>
      <c r="D97" s="114"/>
      <c r="E97" s="10"/>
      <c r="F97" s="117"/>
      <c r="G97" s="10"/>
      <c r="H97" s="10"/>
      <c r="J97" s="42"/>
      <c r="K97" s="1"/>
    </row>
    <row r="98" spans="1:11" ht="14.25">
      <c r="A98" s="43" t="s">
        <v>80</v>
      </c>
      <c r="B98" s="99" t="s">
        <v>88</v>
      </c>
      <c r="C98" s="105">
        <v>5.6577929999999999E-2</v>
      </c>
      <c r="D98" s="114"/>
      <c r="E98" s="10"/>
      <c r="F98" s="117"/>
      <c r="G98" s="10"/>
      <c r="H98" s="10"/>
      <c r="J98" s="42"/>
      <c r="K98" s="1"/>
    </row>
    <row r="99" spans="1:11" ht="14.25">
      <c r="A99" s="43" t="s">
        <v>89</v>
      </c>
      <c r="B99" s="99" t="s">
        <v>88</v>
      </c>
      <c r="C99" s="105">
        <v>5.4199999999999998E-2</v>
      </c>
      <c r="D99" s="114"/>
      <c r="E99" s="10"/>
      <c r="F99" s="117"/>
      <c r="G99" s="10"/>
      <c r="H99" s="10"/>
      <c r="J99" s="42"/>
      <c r="K99" s="1"/>
    </row>
    <row r="100" spans="1:11" ht="14.25">
      <c r="A100" s="43" t="s">
        <v>82</v>
      </c>
      <c r="B100" s="99" t="s">
        <v>88</v>
      </c>
      <c r="C100" s="105" t="s">
        <v>112</v>
      </c>
      <c r="D100" s="114"/>
      <c r="E100" s="10"/>
      <c r="F100" s="11"/>
      <c r="G100" s="10"/>
      <c r="H100" s="10"/>
      <c r="J100" s="42"/>
      <c r="K100" s="1"/>
    </row>
    <row r="101" spans="1:11" ht="14.25">
      <c r="A101" s="43"/>
      <c r="B101" s="99"/>
      <c r="C101" s="43"/>
      <c r="E101" s="10"/>
      <c r="F101" s="11"/>
      <c r="G101" s="10"/>
      <c r="H101" s="10"/>
      <c r="J101" s="42"/>
      <c r="K101" s="1"/>
    </row>
    <row r="102" spans="1:11" ht="14.25">
      <c r="A102" s="43" t="s">
        <v>90</v>
      </c>
      <c r="B102" s="99"/>
      <c r="C102" s="43"/>
      <c r="E102" s="10"/>
      <c r="F102" s="11"/>
      <c r="G102" s="10"/>
      <c r="H102" s="10"/>
      <c r="J102" s="42"/>
      <c r="K102" s="1"/>
    </row>
    <row r="103" spans="1:11" ht="14.25">
      <c r="A103" s="43"/>
      <c r="B103" s="43"/>
      <c r="C103" s="43"/>
      <c r="E103" s="10"/>
      <c r="F103" s="11"/>
      <c r="G103" s="10"/>
      <c r="H103" s="10"/>
      <c r="J103" s="42"/>
      <c r="K103" s="1"/>
    </row>
    <row r="104" spans="1:11" ht="14.25">
      <c r="A104" s="43" t="s">
        <v>91</v>
      </c>
      <c r="B104" s="43"/>
      <c r="C104" s="43"/>
      <c r="E104" s="10"/>
      <c r="F104" s="11"/>
      <c r="G104" s="10"/>
      <c r="H104" s="10"/>
      <c r="J104" s="42"/>
      <c r="K104" s="1"/>
    </row>
    <row r="105" spans="1:11" ht="14.25">
      <c r="A105" s="43"/>
      <c r="B105" s="43"/>
      <c r="C105" s="43"/>
      <c r="E105" s="10"/>
      <c r="F105" s="11"/>
      <c r="G105" s="10"/>
      <c r="H105" s="10"/>
      <c r="J105" s="42"/>
      <c r="K105" s="1"/>
    </row>
    <row r="106" spans="1:11" ht="14.25">
      <c r="A106" s="43" t="s">
        <v>92</v>
      </c>
      <c r="B106" s="43"/>
      <c r="C106" s="43"/>
      <c r="E106" s="10"/>
      <c r="F106" s="11"/>
      <c r="G106" s="10"/>
      <c r="H106" s="10"/>
      <c r="J106" s="42"/>
      <c r="K106" s="1"/>
    </row>
    <row r="107" spans="1:11" ht="14.25">
      <c r="A107" s="43"/>
      <c r="B107" s="43"/>
      <c r="C107" s="43"/>
      <c r="E107" s="10"/>
      <c r="F107" s="11"/>
      <c r="G107" s="10"/>
      <c r="H107" s="10"/>
      <c r="J107" s="42"/>
      <c r="K107" s="1"/>
    </row>
    <row r="108" spans="1:11" ht="14.25">
      <c r="A108" s="43" t="s">
        <v>93</v>
      </c>
      <c r="B108" s="43"/>
      <c r="C108" s="43"/>
      <c r="E108" s="10"/>
      <c r="F108" s="11"/>
      <c r="G108" s="10"/>
      <c r="H108" s="10"/>
      <c r="J108" s="42"/>
      <c r="K108" s="1"/>
    </row>
    <row r="109" spans="1:11" ht="14.25">
      <c r="A109" s="43"/>
      <c r="B109" s="104"/>
      <c r="C109" s="108"/>
      <c r="E109" s="10"/>
      <c r="F109" s="11"/>
      <c r="G109" s="10"/>
      <c r="H109" s="10"/>
      <c r="J109" s="42"/>
      <c r="K109" s="1"/>
    </row>
    <row r="110" spans="1:11" ht="14.25">
      <c r="A110" s="43" t="s">
        <v>205</v>
      </c>
      <c r="B110" s="104"/>
      <c r="C110" s="108"/>
      <c r="E110" s="10"/>
      <c r="F110" s="11"/>
      <c r="G110" s="10"/>
      <c r="H110" s="10"/>
      <c r="J110" s="42"/>
      <c r="K110" s="1"/>
    </row>
    <row r="111" spans="1:11" ht="14.25">
      <c r="A111" s="43"/>
      <c r="B111" s="104"/>
      <c r="C111" s="108"/>
      <c r="E111" s="10"/>
      <c r="F111" s="11"/>
      <c r="G111" s="10"/>
      <c r="H111" s="10"/>
      <c r="J111" s="42"/>
      <c r="K111" s="1"/>
    </row>
    <row r="112" spans="1:11" ht="14.25">
      <c r="A112" s="43" t="s">
        <v>94</v>
      </c>
      <c r="B112" s="104"/>
      <c r="C112" s="108"/>
      <c r="E112" s="10"/>
      <c r="F112" s="11"/>
      <c r="G112" s="10"/>
      <c r="H112" s="10"/>
      <c r="J112" s="42"/>
      <c r="K112" s="1"/>
    </row>
    <row r="113" spans="1:11" ht="14.25">
      <c r="A113" s="43"/>
      <c r="B113" s="104"/>
      <c r="C113" s="108"/>
      <c r="E113" s="10"/>
      <c r="F113" s="11"/>
      <c r="G113" s="10"/>
      <c r="H113" s="10"/>
      <c r="J113" s="42"/>
      <c r="K113" s="1"/>
    </row>
    <row r="114" spans="1:11" ht="14.25">
      <c r="A114" s="43" t="s">
        <v>95</v>
      </c>
      <c r="B114" s="104"/>
      <c r="C114" s="108"/>
      <c r="E114" s="10"/>
      <c r="F114" s="11"/>
      <c r="G114" s="10"/>
      <c r="H114" s="10"/>
      <c r="J114" s="42"/>
      <c r="K114" s="1"/>
    </row>
    <row r="115" spans="1:11" ht="14.25">
      <c r="A115" s="43"/>
      <c r="B115" s="104"/>
      <c r="C115" s="109"/>
      <c r="E115" s="10"/>
      <c r="F115" s="11"/>
      <c r="G115" s="10"/>
      <c r="H115" s="10"/>
      <c r="J115" s="42"/>
      <c r="K115" s="1"/>
    </row>
    <row r="116" spans="1:11" ht="14.25">
      <c r="A116" s="43" t="s">
        <v>96</v>
      </c>
      <c r="B116" s="104"/>
      <c r="C116" s="109"/>
      <c r="E116" s="10"/>
      <c r="F116" s="11"/>
      <c r="G116" s="10"/>
      <c r="H116" s="10"/>
      <c r="J116" s="42"/>
      <c r="K116" s="1"/>
    </row>
    <row r="117" spans="1:11" ht="14.25">
      <c r="A117" s="43"/>
      <c r="B117" s="104"/>
      <c r="C117" s="109"/>
      <c r="E117" s="10"/>
      <c r="F117" s="11"/>
      <c r="G117" s="10"/>
      <c r="H117" s="10"/>
      <c r="J117" s="42"/>
      <c r="K117" s="1"/>
    </row>
    <row r="118" spans="1:11" ht="14.25">
      <c r="A118" s="43" t="s">
        <v>97</v>
      </c>
      <c r="B118" s="104"/>
      <c r="C118" s="109"/>
      <c r="E118" s="10"/>
      <c r="F118" s="11"/>
      <c r="G118" s="10"/>
      <c r="H118" s="10"/>
      <c r="J118" s="42"/>
      <c r="K118" s="1"/>
    </row>
    <row r="119" spans="1:11" ht="14.25">
      <c r="A119" s="10"/>
      <c r="B119" s="10"/>
      <c r="C119" s="10"/>
      <c r="D119" s="10"/>
      <c r="E119" s="10"/>
      <c r="F119" s="10"/>
      <c r="G119" s="10"/>
      <c r="H119" s="10"/>
      <c r="J119" s="42"/>
      <c r="K119" s="1"/>
    </row>
    <row r="120" spans="1:11" ht="14.25">
      <c r="A120" s="133" t="s">
        <v>24</v>
      </c>
      <c r="B120" s="133"/>
      <c r="C120" s="133"/>
      <c r="D120" s="133"/>
      <c r="E120" s="133"/>
      <c r="F120" s="133"/>
      <c r="G120" s="133"/>
      <c r="H120" s="133"/>
      <c r="J120" s="42"/>
      <c r="K120" s="1"/>
    </row>
    <row r="121" spans="1:11" ht="29.25" customHeight="1">
      <c r="A121" s="133" t="s">
        <v>25</v>
      </c>
      <c r="B121" s="133"/>
      <c r="C121" s="133"/>
      <c r="D121" s="133"/>
      <c r="E121" s="133"/>
      <c r="F121" s="133"/>
      <c r="G121" s="133"/>
      <c r="H121" s="133"/>
      <c r="J121" s="42"/>
      <c r="K121" s="1"/>
    </row>
    <row r="122" spans="1:11" ht="14.25">
      <c r="A122" s="134" t="s">
        <v>26</v>
      </c>
      <c r="B122" s="134"/>
      <c r="C122" s="134"/>
      <c r="D122" s="134"/>
      <c r="E122" s="134"/>
      <c r="F122" s="134"/>
      <c r="G122" s="134"/>
      <c r="H122" s="134"/>
      <c r="J122" s="42"/>
      <c r="K122" s="1"/>
    </row>
    <row r="123" spans="1:11" ht="40.5" customHeight="1">
      <c r="A123" s="135" t="s">
        <v>27</v>
      </c>
      <c r="B123" s="135"/>
      <c r="C123" s="135"/>
      <c r="D123" s="135"/>
      <c r="E123" s="135"/>
      <c r="F123" s="135"/>
      <c r="G123" s="135"/>
      <c r="H123" s="135"/>
      <c r="I123" s="136"/>
      <c r="J123" s="136"/>
      <c r="K123" s="1"/>
    </row>
    <row r="124" spans="1:11" ht="14.25">
      <c r="A124" s="14"/>
      <c r="B124" s="14"/>
      <c r="C124" s="14"/>
      <c r="D124" s="14"/>
      <c r="E124" s="14"/>
      <c r="F124" s="14"/>
      <c r="G124" s="13"/>
      <c r="H124" s="13"/>
      <c r="J124" s="42"/>
      <c r="K124" s="1"/>
    </row>
    <row r="125" spans="1:11" ht="14.25">
      <c r="A125" s="15" t="s">
        <v>28</v>
      </c>
      <c r="B125" s="16"/>
      <c r="C125" s="16"/>
      <c r="D125" s="8"/>
      <c r="E125" s="8"/>
      <c r="F125" s="17"/>
      <c r="G125" s="8"/>
      <c r="K125" s="1"/>
    </row>
    <row r="126" spans="1:11" ht="14.25">
      <c r="A126" s="18" t="s">
        <v>29</v>
      </c>
      <c r="B126" s="16"/>
      <c r="C126" s="16"/>
      <c r="D126" s="8"/>
      <c r="E126" s="8"/>
      <c r="F126" s="8"/>
      <c r="G126" s="8"/>
      <c r="K126" s="1"/>
    </row>
    <row r="127" spans="1:11" ht="14.25">
      <c r="A127" s="18" t="s">
        <v>30</v>
      </c>
      <c r="B127" s="16"/>
      <c r="C127" s="16"/>
      <c r="D127" s="8"/>
      <c r="E127" s="8"/>
      <c r="F127" s="8"/>
      <c r="G127" s="8"/>
      <c r="K127" s="1"/>
    </row>
    <row r="128" spans="1:11" ht="14.25">
      <c r="A128" s="18" t="s">
        <v>31</v>
      </c>
      <c r="B128" s="16"/>
      <c r="C128" s="16"/>
      <c r="D128" s="8"/>
      <c r="E128" s="8"/>
      <c r="F128" s="8"/>
      <c r="G128" s="8"/>
      <c r="K128" s="1"/>
    </row>
    <row r="129" spans="1:11" ht="14.25">
      <c r="A129" s="19"/>
      <c r="B129" s="16"/>
      <c r="C129" s="16"/>
      <c r="D129" s="8"/>
      <c r="E129" s="8"/>
      <c r="F129" s="8"/>
      <c r="G129" s="8"/>
      <c r="K129" s="1"/>
    </row>
    <row r="130" spans="1:11" ht="14.25">
      <c r="A130" s="126" t="s">
        <v>69</v>
      </c>
      <c r="B130" s="126"/>
      <c r="C130" s="127" t="s">
        <v>32</v>
      </c>
      <c r="D130" s="127"/>
      <c r="E130" s="127"/>
      <c r="F130" s="8"/>
      <c r="G130" s="8"/>
      <c r="K130" s="1"/>
    </row>
    <row r="131" spans="1:11" ht="14.25">
      <c r="A131" s="20"/>
      <c r="B131" s="21"/>
      <c r="C131" s="21"/>
      <c r="D131" s="21"/>
      <c r="E131" s="22"/>
      <c r="F131" s="8"/>
      <c r="G131" s="8"/>
      <c r="K131" s="1"/>
    </row>
    <row r="132" spans="1:11" ht="14.25">
      <c r="A132" s="23"/>
      <c r="B132" s="16"/>
      <c r="C132" s="16"/>
      <c r="D132" s="8"/>
      <c r="E132" s="8"/>
      <c r="F132" s="8"/>
      <c r="G132" s="8"/>
      <c r="K132" s="1"/>
    </row>
    <row r="133" spans="1:11" ht="14.25">
      <c r="A133" s="16"/>
      <c r="B133" s="16"/>
      <c r="C133" s="16"/>
      <c r="D133" s="8"/>
      <c r="E133" s="8"/>
      <c r="F133" s="8"/>
      <c r="G133" s="8"/>
      <c r="K133" s="1"/>
    </row>
    <row r="134" spans="1:11" ht="14.25">
      <c r="A134" s="4"/>
      <c r="B134" s="12"/>
      <c r="D134" s="8"/>
      <c r="E134" s="8"/>
      <c r="F134" s="8"/>
      <c r="G134" s="8"/>
      <c r="K134" s="1"/>
    </row>
    <row r="135" spans="1:11" ht="14.25">
      <c r="A135" s="4"/>
      <c r="B135" s="12"/>
      <c r="D135" s="8"/>
      <c r="E135" s="8"/>
      <c r="F135" s="8"/>
      <c r="G135" s="8"/>
      <c r="K135" s="1"/>
    </row>
    <row r="136" spans="1:11" ht="14.25">
      <c r="A136" s="4"/>
      <c r="B136" s="12"/>
      <c r="D136" s="8"/>
      <c r="E136" s="8"/>
      <c r="F136" s="8"/>
      <c r="G136" s="8"/>
      <c r="K136" s="1"/>
    </row>
    <row r="137" spans="1:11" ht="14.25">
      <c r="A137" s="4"/>
      <c r="B137" s="12"/>
      <c r="D137" s="8"/>
      <c r="E137" s="8"/>
      <c r="F137" s="8"/>
      <c r="G137" s="8"/>
      <c r="K137" s="1"/>
    </row>
    <row r="138" spans="1:11" ht="14.25">
      <c r="A138" s="4"/>
      <c r="B138" s="12"/>
      <c r="D138" s="8"/>
      <c r="E138" s="8"/>
      <c r="F138" s="8"/>
      <c r="G138" s="8"/>
      <c r="K138" s="1"/>
    </row>
    <row r="139" spans="1:11" ht="14.25">
      <c r="A139" s="4"/>
      <c r="B139" s="12"/>
      <c r="D139" s="8"/>
      <c r="E139" s="8"/>
      <c r="F139" s="8"/>
      <c r="G139" s="8"/>
      <c r="K139" s="1"/>
    </row>
    <row r="140" spans="1:11" ht="14.25">
      <c r="A140" s="4"/>
      <c r="B140" s="12"/>
      <c r="D140" s="8"/>
      <c r="E140" s="8"/>
      <c r="F140" s="8"/>
      <c r="G140" s="8"/>
      <c r="K140" s="1"/>
    </row>
    <row r="141" spans="1:11" ht="14.25">
      <c r="A141" s="128" t="s">
        <v>64</v>
      </c>
      <c r="B141" s="128"/>
      <c r="C141" s="128" t="s">
        <v>33</v>
      </c>
      <c r="D141" s="128"/>
      <c r="E141" s="128"/>
      <c r="F141" s="8"/>
      <c r="G141" s="8"/>
      <c r="K141" s="1"/>
    </row>
    <row r="142" spans="1:11" ht="15" thickBot="1">
      <c r="A142" s="44"/>
      <c r="B142" s="44"/>
      <c r="C142" s="44"/>
      <c r="D142" s="44"/>
      <c r="E142" s="44"/>
      <c r="F142" s="8"/>
      <c r="G142" s="8"/>
      <c r="K142" s="1"/>
    </row>
    <row r="143" spans="1:11" ht="15" thickBot="1">
      <c r="A143" s="129" t="s">
        <v>34</v>
      </c>
      <c r="B143" s="130"/>
      <c r="C143" s="130"/>
      <c r="D143" s="131"/>
      <c r="E143" s="25"/>
      <c r="F143" s="8"/>
      <c r="G143" s="8"/>
      <c r="K143" s="1"/>
    </row>
    <row r="144" spans="1:11" ht="15" thickBot="1">
      <c r="A144" s="26" t="s">
        <v>35</v>
      </c>
      <c r="B144" s="118" t="s">
        <v>36</v>
      </c>
      <c r="C144" s="118" t="s">
        <v>37</v>
      </c>
      <c r="D144" s="118" t="s">
        <v>38</v>
      </c>
      <c r="E144" s="25"/>
      <c r="F144" s="8"/>
      <c r="G144" s="8"/>
      <c r="K144" s="1"/>
    </row>
    <row r="145" spans="1:11" ht="15" thickBot="1">
      <c r="A145" s="26" t="s">
        <v>39</v>
      </c>
      <c r="B145" s="119"/>
      <c r="C145" s="119"/>
      <c r="D145" s="119"/>
      <c r="E145" s="25"/>
      <c r="F145" s="8"/>
      <c r="G145" s="8"/>
      <c r="K145" s="1"/>
    </row>
    <row r="146" spans="1:11" ht="15" thickBot="1">
      <c r="A146" s="27" t="s">
        <v>40</v>
      </c>
      <c r="B146" s="28"/>
      <c r="C146" s="28" t="s">
        <v>41</v>
      </c>
      <c r="D146" s="29"/>
      <c r="E146" s="25"/>
      <c r="F146" s="8"/>
      <c r="G146" s="8"/>
      <c r="K146" s="1"/>
    </row>
    <row r="147" spans="1:11" ht="15" thickBot="1">
      <c r="A147" s="30" t="s">
        <v>42</v>
      </c>
      <c r="B147" s="29"/>
      <c r="C147" s="29"/>
      <c r="D147" s="29"/>
      <c r="E147" s="25"/>
      <c r="F147" s="8"/>
      <c r="G147" s="8"/>
      <c r="K147" s="1"/>
    </row>
    <row r="148" spans="1:11" ht="15" thickBot="1">
      <c r="A148" s="30" t="s">
        <v>43</v>
      </c>
      <c r="B148" s="29"/>
      <c r="C148" s="29"/>
      <c r="D148" s="29"/>
      <c r="E148" s="25"/>
      <c r="F148" s="8"/>
      <c r="G148" s="8"/>
      <c r="K148" s="1"/>
    </row>
    <row r="149" spans="1:11" ht="14.25">
      <c r="A149" s="9"/>
      <c r="B149" s="31"/>
      <c r="C149" s="31"/>
      <c r="D149" s="31"/>
      <c r="E149" s="25"/>
      <c r="F149" s="8"/>
      <c r="G149" s="8"/>
      <c r="K149" s="1"/>
    </row>
    <row r="150" spans="1:11" ht="14.25">
      <c r="A150" s="120" t="s">
        <v>44</v>
      </c>
      <c r="B150" s="121"/>
      <c r="D150" s="8"/>
      <c r="E150" s="25"/>
      <c r="F150" s="8"/>
      <c r="G150" s="8"/>
      <c r="K150" s="1"/>
    </row>
    <row r="151" spans="1:11" ht="14.25">
      <c r="A151" s="33" t="s">
        <v>45</v>
      </c>
      <c r="B151" s="34" t="s">
        <v>46</v>
      </c>
      <c r="D151" s="8"/>
      <c r="E151" s="25"/>
      <c r="F151" s="8"/>
      <c r="G151" s="8"/>
      <c r="K151" s="1"/>
    </row>
    <row r="152" spans="1:11" ht="14.25">
      <c r="A152" s="33" t="s">
        <v>47</v>
      </c>
      <c r="B152" s="35"/>
      <c r="D152" s="8"/>
      <c r="E152" s="25"/>
      <c r="F152" s="8"/>
      <c r="G152" s="8"/>
      <c r="K152" s="1"/>
    </row>
    <row r="153" spans="1:11" ht="14.25">
      <c r="A153" s="33"/>
      <c r="B153" s="35"/>
      <c r="D153" s="8"/>
      <c r="E153" s="25"/>
      <c r="F153" s="8"/>
      <c r="G153" s="8"/>
      <c r="K153" s="1"/>
    </row>
    <row r="154" spans="1:11" ht="27">
      <c r="A154" s="33" t="s">
        <v>48</v>
      </c>
      <c r="B154" s="49">
        <v>6.1199999999999997E-2</v>
      </c>
      <c r="D154" s="8"/>
      <c r="E154" s="25"/>
      <c r="F154" s="8"/>
      <c r="G154" s="8"/>
      <c r="K154" s="1"/>
    </row>
    <row r="155" spans="1:11" ht="14.25">
      <c r="A155" s="33" t="s">
        <v>49</v>
      </c>
      <c r="B155" s="50"/>
      <c r="D155" s="8"/>
      <c r="E155" s="25"/>
      <c r="F155" s="8"/>
      <c r="G155" s="8"/>
      <c r="K155" s="1"/>
    </row>
    <row r="156" spans="1:11" ht="14.25">
      <c r="A156" s="33" t="s">
        <v>62</v>
      </c>
      <c r="B156" s="115">
        <v>41</v>
      </c>
      <c r="C156" s="32"/>
      <c r="D156" s="8"/>
      <c r="E156" s="25"/>
      <c r="F156" s="8"/>
      <c r="G156" s="8"/>
      <c r="K156" s="1"/>
    </row>
    <row r="157" spans="1:11" ht="14.25">
      <c r="A157" s="33" t="s">
        <v>63</v>
      </c>
      <c r="B157" s="115">
        <v>41</v>
      </c>
      <c r="D157" s="8"/>
      <c r="E157" s="25"/>
      <c r="F157" s="8"/>
      <c r="G157" s="8"/>
      <c r="K157" s="1"/>
    </row>
    <row r="158" spans="1:11" ht="14.25">
      <c r="A158" s="33" t="s">
        <v>49</v>
      </c>
      <c r="B158" s="35"/>
      <c r="D158" s="8"/>
      <c r="E158" s="25"/>
      <c r="F158" s="8"/>
      <c r="G158" s="8"/>
      <c r="K158" s="1"/>
    </row>
    <row r="159" spans="1:11" ht="14.25">
      <c r="A159" s="33" t="s">
        <v>50</v>
      </c>
      <c r="B159" s="38" t="s">
        <v>203</v>
      </c>
      <c r="D159" s="8"/>
      <c r="E159" s="25"/>
      <c r="F159" s="8"/>
      <c r="G159" s="8"/>
      <c r="K159" s="1"/>
    </row>
    <row r="160" spans="1:11" ht="27">
      <c r="A160" s="36" t="s">
        <v>51</v>
      </c>
      <c r="B160" s="37"/>
      <c r="D160" s="8"/>
      <c r="E160" s="25"/>
      <c r="F160" s="8"/>
      <c r="G160" s="8"/>
      <c r="K160" s="1"/>
    </row>
    <row r="162" spans="1:2">
      <c r="A162" s="122" t="s">
        <v>98</v>
      </c>
      <c r="B162" s="123"/>
    </row>
    <row r="163" spans="1:2">
      <c r="A163" s="110" t="s">
        <v>99</v>
      </c>
    </row>
    <row r="164" spans="1:2">
      <c r="A164" s="124" t="s">
        <v>100</v>
      </c>
      <c r="B164" s="125"/>
    </row>
    <row r="165" spans="1:2">
      <c r="A165" s="111"/>
      <c r="B165" s="111"/>
    </row>
    <row r="166" spans="1:2">
      <c r="A166" s="110" t="s">
        <v>101</v>
      </c>
      <c r="B166" s="112"/>
    </row>
    <row r="167" spans="1:2" ht="15.75">
      <c r="A167" s="140" t="s">
        <v>102</v>
      </c>
      <c r="B167" s="125"/>
    </row>
  </sheetData>
  <sortState xmlns:xlrd2="http://schemas.microsoft.com/office/spreadsheetml/2017/richdata2" ref="A37:K49">
    <sortCondition descending="1" ref="E37:E49"/>
  </sortState>
  <mergeCells count="22">
    <mergeCell ref="A1:I1"/>
    <mergeCell ref="A2:I2"/>
    <mergeCell ref="A3:I3"/>
    <mergeCell ref="A73:H73"/>
    <mergeCell ref="A91:G91"/>
    <mergeCell ref="A92:D92"/>
    <mergeCell ref="A120:H120"/>
    <mergeCell ref="A121:H121"/>
    <mergeCell ref="A122:H122"/>
    <mergeCell ref="A123:J123"/>
    <mergeCell ref="A130:B130"/>
    <mergeCell ref="C130:E130"/>
    <mergeCell ref="A141:B141"/>
    <mergeCell ref="C141:E141"/>
    <mergeCell ref="A143:D143"/>
    <mergeCell ref="D144:D145"/>
    <mergeCell ref="A150:B150"/>
    <mergeCell ref="A162:B162"/>
    <mergeCell ref="A164:B164"/>
    <mergeCell ref="A167:B167"/>
    <mergeCell ref="B144:B145"/>
    <mergeCell ref="C144:C145"/>
  </mergeCells>
  <hyperlinks>
    <hyperlink ref="A164" r:id="rId1" xr:uid="{B57A9EA0-1FDA-4C75-AD96-AB126C437532}"/>
    <hyperlink ref="A167" r:id="rId2" xr:uid="{73423581-4378-4A53-84DE-0D3CF02E1865}"/>
  </hyperlinks>
  <pageMargins left="0.7" right="0.7" top="0.75" bottom="0.75" header="0.3" footer="0.3"/>
  <pageSetup paperSize="9" orientation="portrait" r:id="rId3"/>
  <headerFooter>
    <oddHeader>&amp;C&amp;"Aptos"&amp;11&amp;K0000FF Classification - Internal&amp;1#_x000D_</oddHeader>
    <oddFooter>&amp;C_x000D_&amp;1#&amp;"Aptos"&amp;11&amp;K0000FF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Liquid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2025-04-15T12:27:05Z</dcterms:created>
  <dcterms:modified xsi:type="dcterms:W3CDTF">2026-09-08T06:35:25Z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2026-07-01T11:46:46Z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7849e47b-7326-4412-b2bb-094dd8aa80c3</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