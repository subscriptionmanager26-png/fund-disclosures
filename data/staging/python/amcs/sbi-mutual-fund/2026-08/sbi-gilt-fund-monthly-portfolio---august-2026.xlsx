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476782AD-8B8B-4D4C-84D1-4A9216D72D85}" xr6:coauthVersionLast="47" xr6:coauthVersionMax="47" xr10:uidLastSave="{00000000-0000-0000-0000-000000000000}"/>
  <bookViews>
    <workbookView xWindow="-110" yWindow="-110" windowWidth="19420" windowHeight="10300" xr2:uid="{66F9E120-F895-478B-AA8A-B6BB99312817}"/>
  </bookViews>
  <sheets>
    <sheet name="SMGF" sheetId="1" r:id="rId1"/>
  </sheets>
  <externalReferences>
    <externalReference r:id="rId2"/>
  </externalReferences>
  <definedNames>
    <definedName name="_xlnm.Print_Area" localSheetId="0">SMGF!$A$1:$C$230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3?">SMGF!$C$16:$C$26</definedName>
    <definedName name="XDO_?CLASS_3?4?">#REF!</definedName>
    <definedName name="XDO_?CLASS_3?7?">#REF!</definedName>
    <definedName name="XDO_?CLASS_3?8?">#REF!</definedName>
    <definedName name="XDO_?FINAL_ISIN?1?">#REF!</definedName>
    <definedName name="XDO_?FINAL_ISIN?184?">SMGF!$D$24:$D$26</definedName>
    <definedName name="XDO_?FINAL_ISIN?185?">SMGF!$D$24:$D$37</definedName>
    <definedName name="XDO_?FINAL_ISIN?186?">SMGF!$D$24:$D$51</definedName>
    <definedName name="XDO_?FINAL_ISIN?187?">SMGF!$D$24:$D$68</definedName>
    <definedName name="XDO_?FINAL_ISIN?188?">SMGF!$D$24:$D$73</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84?">SMGF!$G$24:$G$26</definedName>
    <definedName name="XDO_?FINAL_MV?185?">SMGF!$G$24:$G$37</definedName>
    <definedName name="XDO_?FINAL_MV?186?">SMGF!$G$24:$G$51</definedName>
    <definedName name="XDO_?FINAL_MV?187?">SMGF!$G$24:$G$68</definedName>
    <definedName name="XDO_?FINAL_MV?188?">SMGF!$G$24:$G$73</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84?">SMGF!$C$24:$C$26</definedName>
    <definedName name="XDO_?FINAL_NAME?185?">SMGF!$C$24:$C$37</definedName>
    <definedName name="XDO_?FINAL_NAME?186?">SMGF!$C$24:$C$51</definedName>
    <definedName name="XDO_?FINAL_NAME?187?">SMGF!$C$24:$C$68</definedName>
    <definedName name="XDO_?FINAL_NAME?188?">SMGF!$C$24:$C$73</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84?">SMGF!$H$24:$H$26</definedName>
    <definedName name="XDO_?FINAL_PER_NET?185?">SMGF!$H$24:$H$37</definedName>
    <definedName name="XDO_?FINAL_PER_NET?186?">SMGF!$H$24:$H$51</definedName>
    <definedName name="XDO_?FINAL_PER_NET?187?">SMGF!$H$24:$H$68</definedName>
    <definedName name="XDO_?FINAL_PER_NET?188?">SMGF!$H$24:$H$73</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84?">SMGF!$F$24:$F$26</definedName>
    <definedName name="XDO_?FINAL_QUANTITE?185?">SMGF!$F$24:$F$37</definedName>
    <definedName name="XDO_?FINAL_QUANTITE?186?">SMGF!$F$24:$F$51</definedName>
    <definedName name="XDO_?FINAL_QUANTITE?187?">SMGF!$F$24:$F$68</definedName>
    <definedName name="XDO_?FINAL_QUANTITE?188?">SMGF!$F$24:$F$73</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3?">SMGF!$C$2:$C$26</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84?">SMGF!$B$24:$B$26</definedName>
    <definedName name="XDO_?NOVAL?185?">SMGF!$B$24:$B$37</definedName>
    <definedName name="XDO_?NOVAL?186?">SMGF!$B$24:$B$51</definedName>
    <definedName name="XDO_?NOVAL?187?">SMGF!$B$24:$B$68</definedName>
    <definedName name="XDO_?NOVAL?188?">SMGF!$B$24:$B$73</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3?">SMGF!$D$2:$D$26</definedName>
    <definedName name="XDO_?NPTF?4?">#REF!</definedName>
    <definedName name="XDO_?NPTF?7?">#REF!</definedName>
    <definedName name="XDO_?NPTF?8?">#REF!</definedName>
    <definedName name="XDO_?RATING?1?">#REF!</definedName>
    <definedName name="XDO_?RATING?184?">SMGF!$E$24:$E$26</definedName>
    <definedName name="XDO_?RATING?185?">SMGF!$E$24:$E$37</definedName>
    <definedName name="XDO_?RATING?186?">SMGF!$E$24:$E$51</definedName>
    <definedName name="XDO_?RATING?187?">SMGF!$E$24:$E$68</definedName>
    <definedName name="XDO_?RATING?188?">SMGF!$E$24:$E$73</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84?">SMGF!$K$24:$K$26</definedName>
    <definedName name="XDO_?REMARKS?185?">SMGF!$K$24:$K$37</definedName>
    <definedName name="XDO_?REMARKS?186?">SMGF!$K$24:$K$51</definedName>
    <definedName name="XDO_?REMARKS?187?">SMGF!$K$24:$K$68</definedName>
    <definedName name="XDO_?REMARKS?188?">SMGF!$K$24:$K$73</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3?">SMGF!$A$16:$A$26</definedName>
    <definedName name="XDO_?TITL?4?">#REF!</definedName>
    <definedName name="XDO_?TITL?7?">#REF!</definedName>
    <definedName name="XDO_?TITL?8?">#REF!</definedName>
    <definedName name="XDO_?YTM?1?">#REF!</definedName>
    <definedName name="XDO_?YTM?184?">SMGF!$I$24:$I$26</definedName>
    <definedName name="XDO_?YTM?185?">SMGF!$I$24:$I$37</definedName>
    <definedName name="XDO_?YTM?186?">SMGF!$I$24:$I$51</definedName>
    <definedName name="XDO_?YTM?187?">SMGF!$I$24:$I$68</definedName>
    <definedName name="XDO_?YTM?188?">SMGF!$I$24:$I$73</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3?">SMGF!$2:$76</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3?">SMGF!$16:$75</definedName>
    <definedName name="XDO_GROUP_?G_3?4?">#REF!</definedName>
    <definedName name="XDO_GROUP_?G_3?7?">#REF!</definedName>
    <definedName name="XDO_GROUP_?G_3?8?">#REF!</definedName>
    <definedName name="XDO_GROUP_?G_4?1?">#REF!</definedName>
    <definedName name="XDO_GROUP_?G_4?184?">SMGF!$B$24:$IV$26</definedName>
    <definedName name="XDO_GROUP_?G_4?185?">SMGF!$B$30:$IV$37</definedName>
    <definedName name="XDO_GROUP_?G_4?186?">SMGF!$B$48:$IV$51</definedName>
    <definedName name="XDO_GROUP_?G_4?187?">SMGF!$B$68:$IV$68</definedName>
    <definedName name="XDO_GROUP_?G_4?188?">SMGF!$B$73:$IV$73</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89" i="1" l="1"/>
  <c r="I88" i="1"/>
  <c r="I87" i="1"/>
  <c r="I86" i="1"/>
  <c r="I85" i="1"/>
  <c r="I84" i="1"/>
  <c r="I83" i="1"/>
  <c r="I82" i="1"/>
  <c r="I81" i="1"/>
  <c r="I89" i="1" s="1"/>
</calcChain>
</file>

<file path=xl/sharedStrings.xml><?xml version="1.0" encoding="utf-8"?>
<sst xmlns="http://schemas.openxmlformats.org/spreadsheetml/2006/main" count="366" uniqueCount="197">
  <si>
    <t>SBI Mutual Fund</t>
  </si>
  <si>
    <t>097</t>
  </si>
  <si>
    <t>Back to Index</t>
  </si>
  <si>
    <t>SCHEME NAME :</t>
  </si>
  <si>
    <t>SBI Gilt Fund (Erstwhile known as SBI Magnum Gilt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</si>
  <si>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</si>
  <si>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</si>
  <si>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</si>
  <si>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</si>
  <si>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</si>
  <si>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</si>
  <si>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</si>
  <si>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</si>
  <si>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</si>
  <si>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</si>
  <si>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</si>
  <si>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</si>
  <si>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</si>
  <si>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</si>
  <si>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</si>
  <si>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</si>
  <si>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</si>
  <si>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</si>
  <si>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</si>
  <si>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</si>
  <si>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900338</t>
  </si>
  <si>
    <t>7.71% CGL 2066</t>
  </si>
  <si>
    <t>IN0020260033</t>
  </si>
  <si>
    <t>Sovereign</t>
  </si>
  <si>
    <t>900333</t>
  </si>
  <si>
    <t>7.43% CGL 2076</t>
  </si>
  <si>
    <t>IN0020250117</t>
  </si>
  <si>
    <t>900337</t>
  </si>
  <si>
    <t>6.94% CGL 2036</t>
  </si>
  <si>
    <t>IN0020260025</t>
  </si>
  <si>
    <t>Total</t>
  </si>
  <si>
    <t>State Government Securities</t>
  </si>
  <si>
    <t>1906709</t>
  </si>
  <si>
    <t>7.55% State Government of Maharashtra 2034</t>
  </si>
  <si>
    <t>IN2220260045</t>
  </si>
  <si>
    <t>1906773</t>
  </si>
  <si>
    <t>7.28% State Government of Andhra Pradesh 2032</t>
  </si>
  <si>
    <t>IN1020260072</t>
  </si>
  <si>
    <t>1906642</t>
  </si>
  <si>
    <t>7.79% State Government of West Bengal 2045</t>
  </si>
  <si>
    <t>IN3420250430</t>
  </si>
  <si>
    <t>1906467</t>
  </si>
  <si>
    <t>7.66% State Government of Kerala 2039</t>
  </si>
  <si>
    <t>IN2020250253</t>
  </si>
  <si>
    <t>1906428</t>
  </si>
  <si>
    <t>7.86% State Government of Bihar 2039</t>
  </si>
  <si>
    <t>IN1320250278</t>
  </si>
  <si>
    <t>1906356</t>
  </si>
  <si>
    <t>7.58% State Government of West Bengal 2042</t>
  </si>
  <si>
    <t>IN3420250232</t>
  </si>
  <si>
    <t>1906438</t>
  </si>
  <si>
    <t>7.85% State Government of Mizoram 2042</t>
  </si>
  <si>
    <t>IN2520250092</t>
  </si>
  <si>
    <t>1906766</t>
  </si>
  <si>
    <t>7.37% State Government of Chhattisgarh 2031</t>
  </si>
  <si>
    <t>IN3520260016</t>
  </si>
  <si>
    <t>b) Privately Placed/Unlisted</t>
  </si>
  <si>
    <t>MONEY MARKET INSTRUMENTS</t>
  </si>
  <si>
    <t>Commercial Paper</t>
  </si>
  <si>
    <t>Certificate of Deposits</t>
  </si>
  <si>
    <t>Treasury Bills</t>
  </si>
  <si>
    <t>1801499</t>
  </si>
  <si>
    <t>91 DAY T-BILL 05.11.26</t>
  </si>
  <si>
    <t>IN002026X180</t>
  </si>
  <si>
    <t>1801501</t>
  </si>
  <si>
    <t>91 DAY T-BILL 12.11.26</t>
  </si>
  <si>
    <t>IN002026X198</t>
  </si>
  <si>
    <t>1801503</t>
  </si>
  <si>
    <t>91 DAY T-BILL 19.11.26</t>
  </si>
  <si>
    <t>IN002026X206</t>
  </si>
  <si>
    <t>1801461</t>
  </si>
  <si>
    <t>182 DAY T-BILL 10.09.26</t>
  </si>
  <si>
    <t>IN002025Y495</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</si>
  <si>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</si>
  <si>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</si>
  <si>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</si>
  <si>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</si>
  <si>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</si>
  <si>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</si>
  <si>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</si>
  <si>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</si>
  <si>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</si>
  <si>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</si>
  <si>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</si>
  <si>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</si>
  <si>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</si>
  <si>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</si>
  <si>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</si>
  <si>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</si>
  <si>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</si>
  <si>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</si>
  <si>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</si>
  <si>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</si>
  <si>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</si>
  <si>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Standard Chartered Bank 15-07-2031</t>
  </si>
  <si>
    <t>ICICI Securities Primary Dealership Ltd. 23-07-2031</t>
  </si>
  <si>
    <t>HSBC Ltd. 23-07-2031</t>
  </si>
  <si>
    <t>Standard Chartered Bank 23-07-2031</t>
  </si>
  <si>
    <t>State Bank of India 04-08-2031</t>
  </si>
  <si>
    <t>Deutsche Bank AG 04-08-2031</t>
  </si>
  <si>
    <t>Nomura Fixed Income Securities Pvt. Ltd. 04-08-2031</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</si>
  <si>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</si>
  <si>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</si>
  <si>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</si>
  <si>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</si>
  <si>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</si>
  <si>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</si>
  <si>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</si>
  <si>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</si>
  <si>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</si>
  <si>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</si>
  <si>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</si>
  <si>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</si>
  <si>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</si>
  <si>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</si>
  <si>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</si>
  <si>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PF 1 Year - IDCW Option</t>
  </si>
  <si>
    <t>PF 2 Year - IDCW Option</t>
  </si>
  <si>
    <t>PF 3 Year - IDCW Option</t>
  </si>
  <si>
    <t>PF 3 Year - Growth Option</t>
  </si>
  <si>
    <t>PF Regular - Growth Option</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</si>
  <si>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</si>
  <si>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</si>
  <si>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</si>
  <si>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</si>
  <si>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</si>
  <si>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</si>
  <si>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</si>
  <si>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</si>
  <si>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</si>
  <si>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</si>
  <si>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</si>
  <si>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</si>
  <si>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</si>
  <si>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</si>
  <si>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</si>
  <si>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</si>
  <si>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</si>
  <si>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</si>
  <si>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</si>
  <si>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</si>
  <si>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</si>
  <si>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</si>
  <si>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</si>
  <si>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</si>
  <si>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</si>
  <si>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</si>
  <si>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</si>
  <si>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</si>
  <si>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</si>
  <si>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</si>
  <si>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</si>
  <si>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</si>
  <si>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</si>
  <si>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</si>
  <si>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</si>
  <si>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</si>
  <si>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</si>
  <si>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</si>
  <si>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</si>
  <si>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</si>
  <si>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</si>
  <si>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</si>
  <si>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</si>
  <si>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</si>
  <si>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</si>
  <si>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</si>
  <si>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</si>
  <si>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</si>
  <si>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</si>
  <si>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</si>
  <si>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GOVT OF MAHARASHTRA SGS 7.55%  22-04-2034</t>
  </si>
  <si>
    <t>Long</t>
  </si>
  <si>
    <t>Floating</t>
  </si>
  <si>
    <t>Short</t>
  </si>
  <si>
    <t>Fixed</t>
  </si>
  <si>
    <t>GOVT OF INDIA  7.71% 18-05-2066</t>
  </si>
  <si>
    <t>GOVT OF BIHAR 7.86% MAT 11-02-2039</t>
  </si>
  <si>
    <t>GOVT OF INDIA  WN  7.43% 19-01-2076</t>
  </si>
  <si>
    <t>GOVT OF KERALA 07.66% 18-02-2039</t>
  </si>
  <si>
    <t>GOVT OF INDIA  6.94% 11-05-2036</t>
  </si>
  <si>
    <t>GOVT OF ANDHRA PRADESH 7.28% 17-06-2032</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</si>
  <si>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</si>
  <si>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</si>
  <si>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</si>
  <si>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</si>
  <si>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</si>
  <si>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13.5 Years</t>
  </si>
  <si>
    <t>(H) Repo transactions in corporate debt securities during the month ending August 31, 2026 :</t>
  </si>
  <si>
    <t xml:space="preserve">          Scheme Risk-O-Meter</t>
  </si>
  <si>
    <t xml:space="preserve">         Benchmark Risk-O-Meter</t>
  </si>
  <si>
    <t>Benchmark Name : NIFTY ALL DURATION G-SEC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</si>
</sst>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1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1DD481D9-EB5A-48A9-95C5-F2CD99BFDD59}"/>
    <cellStyle name="Hyperlink" xfId="2" builtinId="8"/>
    <cellStyle name="Hyperlink 2" xfId="5" xr:uid="{2953BBB0-77DE-417D-B087-8E3D63987987}"/>
    <cellStyle name="Normal" xfId="0" builtinId="0"/>
    <cellStyle name="Normal 2" xfId="4" xr:uid="{3C841B2B-75F6-48AA-902B-8B10876A3D61}"/>
    <cellStyle name="Percent 2" xfId="7" xr:uid="{06C181EA-5D50-40EA-BDE4-F79722B4303D}"/>
    <cellStyle name="Style 1" xfId="3" xr:uid="{DC233277-2E13-4A70-B616-39CBA472E5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2613851</xdr:colOff>
      <xdr:row>229</xdr:row>
      <xdr:rowOff>67036</xdr:rowOff>
    </xdr:to>
    <xdr:pic>
      <xdr:nvPicPr>
        <xdr:cNvPr id="2" name="Picture 1">
          <a:extLst>
            <a:ext uri="{FF2B5EF4-FFF2-40B4-BE49-F238E27FC236}">
              <a16:creationId xmlns:a16="http://schemas.microsoft.com/office/drawing/2014/main" id="{909C07AF-CCAE-4DB5-85B2-6C153DB8EC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3726100"/>
          <a:ext cx="2613851" cy="1356086"/>
        </a:xfrm>
        <a:prstGeom prst="rect">
          <a:avLst/>
        </a:prstGeom>
      </xdr:spPr>
    </xdr:pic>
    <xdr:clientData/>
  </xdr:twoCellAnchor>
  <xdr:twoCellAnchor editAs="oneCell">
    <xdr:from>
      <xdr:col>4</xdr:col>
      <xdr:colOff>0</xdr:colOff>
      <xdr:row>222</xdr:row>
      <xdr:rowOff>0</xdr:rowOff>
    </xdr:from>
    <xdr:to>
      <xdr:col>6</xdr:col>
      <xdr:colOff>105600</xdr:colOff>
      <xdr:row>229</xdr:row>
      <xdr:rowOff>62104</xdr:rowOff>
    </xdr:to>
    <xdr:pic>
      <xdr:nvPicPr>
        <xdr:cNvPr id="3" name="Picture 2">
          <a:extLst>
            <a:ext uri="{FF2B5EF4-FFF2-40B4-BE49-F238E27FC236}">
              <a16:creationId xmlns:a16="http://schemas.microsoft.com/office/drawing/2014/main" id="{8A470821-3D14-4C47-9A04-2FDA8EF4A2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37261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2FF6-5257-49E7-8D5A-08A7E13750A9}">
  <sheetPr codeName="Sheet124"/>
  <dimension ref="A1:IV222"/>
  <sheetViews>
    <sheetView showGridLines="0" tabSelected="1" zoomScale="90" zoomScaleNormal="90" workbookViewId="0">
      <pane ySplit="6" topLeftCell="A20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188500000</v>
      </c>
      <c r="G24" s="32">
        <v>190226.28</v>
      </c>
      <c r="H24" s="32">
        <v>23.16</v>
      </c>
      <c r="I24" s="33">
        <v>7.780614623</v>
      </c>
      <c r="J24" s="33"/>
      <c r="K24" s="34"/>
    </row>
    <row r="25" spans="1:11" x14ac:dyDescent="0.35">
      <c r="B25" s="1" t="s">
        <v>29</v>
      </c>
      <c r="C25" s="38" t="s">
        <v>30</v>
      </c>
      <c r="D25" s="29" t="s">
        <v>31</v>
      </c>
      <c r="E25" s="30" t="s">
        <v>28</v>
      </c>
      <c r="F25" s="31">
        <v>32000000</v>
      </c>
      <c r="G25" s="32">
        <v>31172.03</v>
      </c>
      <c r="H25" s="32">
        <v>3.79</v>
      </c>
      <c r="I25" s="33">
        <v>7.7770997399999997</v>
      </c>
      <c r="J25" s="33"/>
      <c r="K25" s="34"/>
    </row>
    <row r="26" spans="1:11" x14ac:dyDescent="0.35">
      <c r="B26" s="1" t="s">
        <v>32</v>
      </c>
      <c r="C26" s="38" t="s">
        <v>33</v>
      </c>
      <c r="D26" s="29" t="s">
        <v>34</v>
      </c>
      <c r="E26" s="30" t="s">
        <v>28</v>
      </c>
      <c r="F26" s="31">
        <v>674900</v>
      </c>
      <c r="G26" s="32">
        <v>674.32</v>
      </c>
      <c r="H26" s="32">
        <v>0.08</v>
      </c>
      <c r="I26" s="33">
        <v>7.0710833380000002</v>
      </c>
      <c r="J26" s="33"/>
      <c r="K26" s="34"/>
    </row>
    <row r="27" spans="1:11" x14ac:dyDescent="0.35">
      <c r="C27" s="28" t="s">
        <v>35</v>
      </c>
      <c r="D27" s="29"/>
      <c r="E27" s="30"/>
      <c r="F27" s="31"/>
      <c r="G27" s="39">
        <v>222072.63</v>
      </c>
      <c r="H27" s="39">
        <v>27.03</v>
      </c>
      <c r="I27" s="33"/>
      <c r="J27" s="33"/>
      <c r="K27" s="34"/>
    </row>
    <row r="28" spans="1:11" x14ac:dyDescent="0.35">
      <c r="C28" s="21"/>
      <c r="D28" s="29"/>
      <c r="E28" s="30"/>
      <c r="F28" s="31"/>
      <c r="G28" s="32"/>
      <c r="H28" s="32"/>
      <c r="I28" s="33"/>
      <c r="J28" s="33"/>
      <c r="K28" s="34"/>
    </row>
    <row r="29" spans="1:11" x14ac:dyDescent="0.35">
      <c r="C29" s="37" t="s">
        <v>36</v>
      </c>
      <c r="D29" s="29"/>
      <c r="E29" s="30"/>
      <c r="F29" s="31"/>
      <c r="G29" s="32"/>
      <c r="H29" s="32"/>
      <c r="I29" s="33"/>
      <c r="J29" s="33"/>
      <c r="K29" s="34"/>
    </row>
    <row r="30" spans="1:11" x14ac:dyDescent="0.35">
      <c r="B30" s="1" t="s">
        <v>37</v>
      </c>
      <c r="C30" s="38" t="s">
        <v>38</v>
      </c>
      <c r="D30" s="29" t="s">
        <v>39</v>
      </c>
      <c r="E30" s="30" t="s">
        <v>28</v>
      </c>
      <c r="F30" s="31">
        <v>70500000</v>
      </c>
      <c r="G30" s="32">
        <v>70776.08</v>
      </c>
      <c r="H30" s="32">
        <v>8.6199999999999992</v>
      </c>
      <c r="I30" s="33">
        <v>7.6192007850000003</v>
      </c>
      <c r="J30" s="33"/>
      <c r="K30" s="34"/>
    </row>
    <row r="31" spans="1:11" x14ac:dyDescent="0.35">
      <c r="B31" s="1" t="s">
        <v>40</v>
      </c>
      <c r="C31" s="38" t="s">
        <v>41</v>
      </c>
      <c r="D31" s="29" t="s">
        <v>42</v>
      </c>
      <c r="E31" s="30" t="s">
        <v>28</v>
      </c>
      <c r="F31" s="31">
        <v>54249400</v>
      </c>
      <c r="G31" s="32">
        <v>53881.81</v>
      </c>
      <c r="H31" s="32">
        <v>6.56</v>
      </c>
      <c r="I31" s="33">
        <v>7.5603116650000004</v>
      </c>
      <c r="J31" s="33"/>
      <c r="K31" s="34"/>
    </row>
    <row r="32" spans="1:11" x14ac:dyDescent="0.35">
      <c r="B32" s="1" t="s">
        <v>43</v>
      </c>
      <c r="C32" s="38" t="s">
        <v>44</v>
      </c>
      <c r="D32" s="29" t="s">
        <v>45</v>
      </c>
      <c r="E32" s="30" t="s">
        <v>28</v>
      </c>
      <c r="F32" s="31">
        <v>33916800</v>
      </c>
      <c r="G32" s="32">
        <v>34146.82</v>
      </c>
      <c r="H32" s="32">
        <v>4.16</v>
      </c>
      <c r="I32" s="33">
        <v>7.8689720349999996</v>
      </c>
      <c r="J32" s="33"/>
      <c r="K32" s="34"/>
    </row>
    <row r="33" spans="1:11" x14ac:dyDescent="0.35">
      <c r="B33" s="1" t="s">
        <v>46</v>
      </c>
      <c r="C33" s="38" t="s">
        <v>47</v>
      </c>
      <c r="D33" s="29" t="s">
        <v>48</v>
      </c>
      <c r="E33" s="30" t="s">
        <v>28</v>
      </c>
      <c r="F33" s="31">
        <v>16500000</v>
      </c>
      <c r="G33" s="32">
        <v>16434.79</v>
      </c>
      <c r="H33" s="32">
        <v>2</v>
      </c>
      <c r="I33" s="33">
        <v>7.8578855499999998</v>
      </c>
      <c r="J33" s="33"/>
      <c r="K33" s="34"/>
    </row>
    <row r="34" spans="1:11" x14ac:dyDescent="0.35">
      <c r="B34" s="1" t="s">
        <v>49</v>
      </c>
      <c r="C34" s="38" t="s">
        <v>50</v>
      </c>
      <c r="D34" s="29" t="s">
        <v>51</v>
      </c>
      <c r="E34" s="30" t="s">
        <v>28</v>
      </c>
      <c r="F34" s="31">
        <v>15000000</v>
      </c>
      <c r="G34" s="32">
        <v>15166.05</v>
      </c>
      <c r="H34" s="32">
        <v>1.85</v>
      </c>
      <c r="I34" s="33">
        <v>7.868049675</v>
      </c>
      <c r="J34" s="33"/>
      <c r="K34" s="34"/>
    </row>
    <row r="35" spans="1:11" x14ac:dyDescent="0.35">
      <c r="B35" s="1" t="s">
        <v>52</v>
      </c>
      <c r="C35" s="38" t="s">
        <v>53</v>
      </c>
      <c r="D35" s="29" t="s">
        <v>54</v>
      </c>
      <c r="E35" s="30" t="s">
        <v>28</v>
      </c>
      <c r="F35" s="31">
        <v>2000000</v>
      </c>
      <c r="G35" s="32">
        <v>1973.03</v>
      </c>
      <c r="H35" s="32">
        <v>0.24</v>
      </c>
      <c r="I35" s="33">
        <v>7.8741911250000003</v>
      </c>
      <c r="J35" s="33"/>
      <c r="K35" s="34"/>
    </row>
    <row r="36" spans="1:11" x14ac:dyDescent="0.35">
      <c r="B36" s="1" t="s">
        <v>55</v>
      </c>
      <c r="C36" s="38" t="s">
        <v>56</v>
      </c>
      <c r="D36" s="29" t="s">
        <v>57</v>
      </c>
      <c r="E36" s="30" t="s">
        <v>28</v>
      </c>
      <c r="F36" s="31">
        <v>1000000</v>
      </c>
      <c r="G36" s="32">
        <v>1008.42</v>
      </c>
      <c r="H36" s="32">
        <v>0.12</v>
      </c>
      <c r="I36" s="33">
        <v>7.9051007750000002</v>
      </c>
      <c r="J36" s="33"/>
      <c r="K36" s="34"/>
    </row>
    <row r="37" spans="1:11" x14ac:dyDescent="0.35">
      <c r="B37" s="1" t="s">
        <v>58</v>
      </c>
      <c r="C37" s="38" t="s">
        <v>59</v>
      </c>
      <c r="D37" s="29" t="s">
        <v>60</v>
      </c>
      <c r="E37" s="30" t="s">
        <v>28</v>
      </c>
      <c r="F37" s="31">
        <v>809200</v>
      </c>
      <c r="G37" s="32">
        <v>813.04</v>
      </c>
      <c r="H37" s="32">
        <v>0.1</v>
      </c>
      <c r="I37" s="33">
        <v>7.3754122100000004</v>
      </c>
      <c r="J37" s="33"/>
      <c r="K37" s="34"/>
    </row>
    <row r="38" spans="1:11" x14ac:dyDescent="0.35">
      <c r="C38" s="28" t="s">
        <v>35</v>
      </c>
      <c r="D38" s="29"/>
      <c r="E38" s="30"/>
      <c r="F38" s="31"/>
      <c r="G38" s="39">
        <v>194200.04</v>
      </c>
      <c r="H38" s="39">
        <v>23.65</v>
      </c>
      <c r="I38" s="33"/>
      <c r="J38" s="33"/>
      <c r="K38" s="34"/>
    </row>
    <row r="39" spans="1:11" x14ac:dyDescent="0.35">
      <c r="C39" s="21"/>
      <c r="D39" s="29"/>
      <c r="E39" s="30"/>
      <c r="F39" s="31"/>
      <c r="G39" s="32"/>
      <c r="H39" s="32"/>
      <c r="I39" s="33"/>
      <c r="J39" s="33"/>
      <c r="K39" s="34"/>
    </row>
    <row r="40" spans="1:11" x14ac:dyDescent="0.35">
      <c r="C40" s="28" t="s">
        <v>61</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A42" s="35"/>
      <c r="B42" s="36"/>
      <c r="C42" s="28" t="s">
        <v>62</v>
      </c>
      <c r="D42" s="29"/>
      <c r="E42" s="30"/>
      <c r="F42" s="31"/>
      <c r="G42" s="32"/>
      <c r="H42" s="32"/>
      <c r="I42" s="33"/>
      <c r="J42" s="33"/>
      <c r="K42" s="34"/>
    </row>
    <row r="43" spans="1:11" x14ac:dyDescent="0.35">
      <c r="A43" s="36"/>
      <c r="B43" s="36"/>
      <c r="C43" s="28" t="s">
        <v>63</v>
      </c>
      <c r="D43" s="29"/>
      <c r="E43" s="30"/>
      <c r="F43" s="31"/>
      <c r="G43" s="32" t="s">
        <v>17</v>
      </c>
      <c r="H43" s="32" t="s">
        <v>17</v>
      </c>
      <c r="I43" s="33"/>
      <c r="J43" s="33"/>
      <c r="K43" s="34"/>
    </row>
    <row r="44" spans="1:11" x14ac:dyDescent="0.35">
      <c r="A44" s="36"/>
      <c r="B44" s="36"/>
      <c r="C44" s="28"/>
      <c r="D44" s="29"/>
      <c r="E44" s="30"/>
      <c r="F44" s="31"/>
      <c r="G44" s="32"/>
      <c r="H44" s="32"/>
      <c r="I44" s="33"/>
      <c r="J44" s="33"/>
      <c r="K44" s="34"/>
    </row>
    <row r="45" spans="1:11" x14ac:dyDescent="0.35">
      <c r="A45" s="36"/>
      <c r="B45" s="36"/>
      <c r="C45" s="28" t="s">
        <v>64</v>
      </c>
      <c r="D45" s="29"/>
      <c r="E45" s="30"/>
      <c r="F45" s="31"/>
      <c r="G45" s="32" t="s">
        <v>17</v>
      </c>
      <c r="H45" s="32" t="s">
        <v>17</v>
      </c>
      <c r="I45" s="33"/>
      <c r="J45" s="33"/>
      <c r="K45" s="34"/>
    </row>
    <row r="46" spans="1:11" x14ac:dyDescent="0.35">
      <c r="A46" s="36"/>
      <c r="B46" s="36"/>
      <c r="C46" s="28"/>
      <c r="D46" s="29"/>
      <c r="E46" s="30"/>
      <c r="F46" s="31"/>
      <c r="G46" s="32"/>
      <c r="H46" s="32"/>
      <c r="I46" s="33"/>
      <c r="J46" s="33"/>
      <c r="K46" s="34"/>
    </row>
    <row r="47" spans="1:11" x14ac:dyDescent="0.35">
      <c r="C47" s="37" t="s">
        <v>65</v>
      </c>
      <c r="D47" s="29"/>
      <c r="E47" s="30"/>
      <c r="F47" s="31"/>
      <c r="G47" s="32"/>
      <c r="H47" s="32"/>
      <c r="I47" s="33"/>
      <c r="J47" s="33"/>
      <c r="K47" s="34"/>
    </row>
    <row r="48" spans="1:11" x14ac:dyDescent="0.35">
      <c r="B48" s="1" t="s">
        <v>66</v>
      </c>
      <c r="C48" s="38" t="s">
        <v>67</v>
      </c>
      <c r="D48" s="29" t="s">
        <v>68</v>
      </c>
      <c r="E48" s="30" t="s">
        <v>28</v>
      </c>
      <c r="F48" s="31">
        <v>100000000</v>
      </c>
      <c r="G48" s="32">
        <v>99074.5</v>
      </c>
      <c r="H48" s="32">
        <v>12.06</v>
      </c>
      <c r="I48" s="33">
        <v>5.2458999999999998</v>
      </c>
      <c r="J48" s="33"/>
      <c r="K48" s="34"/>
    </row>
    <row r="49" spans="1:11" x14ac:dyDescent="0.35">
      <c r="B49" s="1" t="s">
        <v>69</v>
      </c>
      <c r="C49" s="38" t="s">
        <v>70</v>
      </c>
      <c r="D49" s="29" t="s">
        <v>71</v>
      </c>
      <c r="E49" s="30" t="s">
        <v>28</v>
      </c>
      <c r="F49" s="31">
        <v>98000000</v>
      </c>
      <c r="G49" s="32">
        <v>96996.28</v>
      </c>
      <c r="H49" s="32">
        <v>11.81</v>
      </c>
      <c r="I49" s="33">
        <v>5.2461000000000002</v>
      </c>
      <c r="J49" s="33"/>
      <c r="K49" s="34"/>
    </row>
    <row r="50" spans="1:11" x14ac:dyDescent="0.35">
      <c r="B50" s="1" t="s">
        <v>72</v>
      </c>
      <c r="C50" s="38" t="s">
        <v>73</v>
      </c>
      <c r="D50" s="29" t="s">
        <v>74</v>
      </c>
      <c r="E50" s="30" t="s">
        <v>28</v>
      </c>
      <c r="F50" s="31">
        <v>50000000</v>
      </c>
      <c r="G50" s="32">
        <v>49437.15</v>
      </c>
      <c r="H50" s="32">
        <v>6.02</v>
      </c>
      <c r="I50" s="33">
        <v>5.2602000000000002</v>
      </c>
      <c r="J50" s="33"/>
      <c r="K50" s="34"/>
    </row>
    <row r="51" spans="1:11" x14ac:dyDescent="0.35">
      <c r="B51" s="1" t="s">
        <v>75</v>
      </c>
      <c r="C51" s="38" t="s">
        <v>76</v>
      </c>
      <c r="D51" s="29" t="s">
        <v>77</v>
      </c>
      <c r="E51" s="30" t="s">
        <v>28</v>
      </c>
      <c r="F51" s="31">
        <v>14000000</v>
      </c>
      <c r="G51" s="32">
        <v>13982.15</v>
      </c>
      <c r="H51" s="32">
        <v>1.7</v>
      </c>
      <c r="I51" s="33">
        <v>5.1773999999999996</v>
      </c>
      <c r="J51" s="33"/>
      <c r="K51" s="34"/>
    </row>
    <row r="52" spans="1:11" x14ac:dyDescent="0.35">
      <c r="C52" s="28" t="s">
        <v>35</v>
      </c>
      <c r="D52" s="29"/>
      <c r="E52" s="30"/>
      <c r="F52" s="31"/>
      <c r="G52" s="39">
        <v>259490.08</v>
      </c>
      <c r="H52" s="39">
        <v>31.59</v>
      </c>
      <c r="I52" s="33"/>
      <c r="J52" s="33"/>
      <c r="K52" s="34"/>
    </row>
    <row r="53" spans="1:11" x14ac:dyDescent="0.35">
      <c r="C53" s="21"/>
      <c r="D53" s="29"/>
      <c r="E53" s="30"/>
      <c r="F53" s="31"/>
      <c r="G53" s="32"/>
      <c r="H53" s="32"/>
      <c r="I53" s="33"/>
      <c r="J53" s="33"/>
      <c r="K53" s="34"/>
    </row>
    <row r="54" spans="1:11" x14ac:dyDescent="0.35">
      <c r="C54" s="28" t="s">
        <v>78</v>
      </c>
      <c r="D54" s="29"/>
      <c r="E54" s="30"/>
      <c r="F54" s="31"/>
      <c r="G54" s="32" t="s">
        <v>17</v>
      </c>
      <c r="H54" s="32" t="s">
        <v>17</v>
      </c>
      <c r="I54" s="33"/>
      <c r="J54" s="33"/>
      <c r="K54" s="34"/>
    </row>
    <row r="55" spans="1:11" x14ac:dyDescent="0.35">
      <c r="C55" s="21"/>
      <c r="D55" s="29"/>
      <c r="E55" s="30"/>
      <c r="F55" s="31"/>
      <c r="G55" s="32"/>
      <c r="H55" s="32"/>
      <c r="I55" s="33"/>
      <c r="J55" s="33"/>
      <c r="K55" s="34"/>
    </row>
    <row r="56" spans="1:11" x14ac:dyDescent="0.35">
      <c r="C56" s="28" t="s">
        <v>79</v>
      </c>
      <c r="D56" s="29"/>
      <c r="E56" s="30"/>
      <c r="F56" s="31"/>
      <c r="G56" s="32" t="s">
        <v>17</v>
      </c>
      <c r="H56" s="32" t="s">
        <v>17</v>
      </c>
      <c r="I56" s="33"/>
      <c r="J56" s="33"/>
      <c r="K56" s="34"/>
    </row>
    <row r="57" spans="1:11" x14ac:dyDescent="0.35">
      <c r="C57" s="21"/>
      <c r="D57" s="29"/>
      <c r="E57" s="30"/>
      <c r="F57" s="31"/>
      <c r="G57" s="32"/>
      <c r="H57" s="32"/>
      <c r="I57" s="33"/>
      <c r="J57" s="33"/>
      <c r="K57" s="34"/>
    </row>
    <row r="58" spans="1:11" x14ac:dyDescent="0.35">
      <c r="A58" s="35"/>
      <c r="B58" s="36"/>
      <c r="C58" s="28" t="s">
        <v>80</v>
      </c>
      <c r="D58" s="29"/>
      <c r="E58" s="30"/>
      <c r="F58" s="31"/>
      <c r="G58" s="32"/>
      <c r="H58" s="32"/>
      <c r="I58" s="33"/>
      <c r="J58" s="33"/>
      <c r="K58" s="34"/>
    </row>
    <row r="59" spans="1:11" x14ac:dyDescent="0.35">
      <c r="A59" s="36"/>
      <c r="B59" s="36"/>
      <c r="C59" s="28" t="s">
        <v>81</v>
      </c>
      <c r="D59" s="29"/>
      <c r="E59" s="30"/>
      <c r="F59" s="31"/>
      <c r="G59" s="32" t="s">
        <v>17</v>
      </c>
      <c r="H59" s="32" t="s">
        <v>17</v>
      </c>
      <c r="I59" s="33"/>
      <c r="J59" s="33"/>
      <c r="K59" s="34"/>
    </row>
    <row r="60" spans="1:11" x14ac:dyDescent="0.35">
      <c r="A60" s="36"/>
      <c r="B60" s="36"/>
      <c r="C60" s="28"/>
      <c r="D60" s="29"/>
      <c r="E60" s="30"/>
      <c r="F60" s="31"/>
      <c r="G60" s="32"/>
      <c r="H60" s="32"/>
      <c r="I60" s="33"/>
      <c r="J60" s="33"/>
      <c r="K60" s="34"/>
    </row>
    <row r="61" spans="1:11" x14ac:dyDescent="0.35">
      <c r="A61" s="36"/>
      <c r="B61" s="36"/>
      <c r="C61" s="28" t="s">
        <v>82</v>
      </c>
      <c r="D61" s="29"/>
      <c r="E61" s="30"/>
      <c r="F61" s="31"/>
      <c r="G61" s="32" t="s">
        <v>17</v>
      </c>
      <c r="H61" s="32" t="s">
        <v>17</v>
      </c>
      <c r="I61" s="33"/>
      <c r="J61" s="33"/>
      <c r="K61" s="34"/>
    </row>
    <row r="62" spans="1:11" x14ac:dyDescent="0.35">
      <c r="A62" s="36"/>
      <c r="B62" s="36"/>
      <c r="C62" s="28"/>
      <c r="D62" s="29"/>
      <c r="E62" s="30"/>
      <c r="F62" s="31"/>
      <c r="G62" s="32"/>
      <c r="H62" s="32"/>
      <c r="I62" s="33"/>
      <c r="J62" s="33"/>
      <c r="K62" s="34"/>
    </row>
    <row r="63" spans="1:11" x14ac:dyDescent="0.35">
      <c r="A63" s="36"/>
      <c r="B63" s="36"/>
      <c r="C63" s="28" t="s">
        <v>83</v>
      </c>
      <c r="D63" s="29"/>
      <c r="E63" s="30"/>
      <c r="F63" s="31"/>
      <c r="G63" s="32" t="s">
        <v>17</v>
      </c>
      <c r="H63" s="32" t="s">
        <v>17</v>
      </c>
      <c r="I63" s="33"/>
      <c r="J63" s="33"/>
      <c r="K63" s="34"/>
    </row>
    <row r="64" spans="1:11" x14ac:dyDescent="0.35">
      <c r="A64" s="36"/>
      <c r="B64" s="36"/>
      <c r="C64" s="28"/>
      <c r="D64" s="29"/>
      <c r="E64" s="30"/>
      <c r="F64" s="31"/>
      <c r="G64" s="32"/>
      <c r="H64" s="32"/>
      <c r="I64" s="33"/>
      <c r="J64" s="33"/>
      <c r="K64" s="34"/>
    </row>
    <row r="65" spans="1:54" x14ac:dyDescent="0.35">
      <c r="A65" s="36"/>
      <c r="B65" s="36"/>
      <c r="C65" s="28" t="s">
        <v>84</v>
      </c>
      <c r="D65" s="29"/>
      <c r="E65" s="30"/>
      <c r="F65" s="31"/>
      <c r="G65" s="32" t="s">
        <v>17</v>
      </c>
      <c r="H65" s="32" t="s">
        <v>17</v>
      </c>
      <c r="I65" s="33"/>
      <c r="J65" s="33"/>
      <c r="K65" s="34"/>
    </row>
    <row r="66" spans="1:54" x14ac:dyDescent="0.35">
      <c r="A66" s="36"/>
      <c r="B66" s="36"/>
      <c r="C66" s="28"/>
      <c r="D66" s="29"/>
      <c r="E66" s="30"/>
      <c r="F66" s="31"/>
      <c r="G66" s="32"/>
      <c r="H66" s="32"/>
      <c r="I66" s="33"/>
      <c r="J66" s="33"/>
      <c r="K66" s="34"/>
    </row>
    <row r="67" spans="1:54" x14ac:dyDescent="0.35">
      <c r="C67" s="37" t="s">
        <v>85</v>
      </c>
      <c r="D67" s="29"/>
      <c r="E67" s="30"/>
      <c r="F67" s="31"/>
      <c r="G67" s="32"/>
      <c r="H67" s="32"/>
      <c r="I67" s="33"/>
      <c r="J67" s="33"/>
      <c r="K67" s="34"/>
    </row>
    <row r="68" spans="1:54" x14ac:dyDescent="0.35">
      <c r="B68" s="1" t="s">
        <v>86</v>
      </c>
      <c r="C68" s="38" t="s">
        <v>87</v>
      </c>
      <c r="D68" s="29"/>
      <c r="E68" s="30"/>
      <c r="F68" s="31"/>
      <c r="G68" s="32">
        <v>109123.89</v>
      </c>
      <c r="H68" s="32">
        <v>13.28</v>
      </c>
      <c r="I68" s="33"/>
      <c r="J68" s="33"/>
      <c r="K68" s="34"/>
    </row>
    <row r="69" spans="1:54" x14ac:dyDescent="0.35">
      <c r="C69" s="28" t="s">
        <v>35</v>
      </c>
      <c r="D69" s="29"/>
      <c r="E69" s="30"/>
      <c r="F69" s="31"/>
      <c r="G69" s="39">
        <v>109123.89</v>
      </c>
      <c r="H69" s="39">
        <v>13.28</v>
      </c>
      <c r="I69" s="33"/>
      <c r="J69" s="33"/>
      <c r="K69" s="34"/>
    </row>
    <row r="70" spans="1:54" x14ac:dyDescent="0.35">
      <c r="C70" s="21"/>
      <c r="D70" s="29"/>
      <c r="E70" s="30"/>
      <c r="F70" s="31"/>
      <c r="G70" s="32"/>
      <c r="H70" s="32"/>
      <c r="I70" s="33"/>
      <c r="J70" s="33"/>
      <c r="K70" s="34"/>
    </row>
    <row r="71" spans="1:54" x14ac:dyDescent="0.35">
      <c r="A71" s="35"/>
      <c r="B71" s="36"/>
      <c r="C71" s="28" t="s">
        <v>88</v>
      </c>
      <c r="D71" s="29"/>
      <c r="E71" s="30"/>
      <c r="F71" s="31"/>
      <c r="G71" s="32"/>
      <c r="H71" s="32"/>
      <c r="I71" s="33"/>
      <c r="J71" s="33"/>
      <c r="K71" s="34"/>
    </row>
    <row r="72" spans="1:54" s="2" customFormat="1" ht="13.5" x14ac:dyDescent="0.35">
      <c r="A72" s="36"/>
      <c r="B72" s="36"/>
      <c r="C72" s="21" t="s">
        <v>89</v>
      </c>
      <c r="D72" s="29"/>
      <c r="E72" s="30"/>
      <c r="F72" s="31"/>
      <c r="G72" s="32" t="s">
        <v>17</v>
      </c>
      <c r="H72" s="32" t="s">
        <v>17</v>
      </c>
      <c r="I72" s="33"/>
      <c r="J72" s="33"/>
      <c r="K72" s="34"/>
      <c r="L72" s="10"/>
      <c r="AI72" s="10"/>
      <c r="AV72" s="10"/>
      <c r="AX72" s="10"/>
      <c r="BB72" s="10"/>
    </row>
    <row r="73" spans="1:54" x14ac:dyDescent="0.35">
      <c r="B73" s="1"/>
      <c r="C73" s="38" t="s">
        <v>90</v>
      </c>
      <c r="D73" s="29"/>
      <c r="E73" s="30"/>
      <c r="F73" s="31"/>
      <c r="G73" s="32">
        <v>36636.199999999997</v>
      </c>
      <c r="H73" s="32">
        <v>4.45</v>
      </c>
      <c r="I73" s="33"/>
      <c r="J73" s="33"/>
      <c r="K73" s="34"/>
    </row>
    <row r="74" spans="1:54" x14ac:dyDescent="0.35">
      <c r="C74" s="28" t="s">
        <v>35</v>
      </c>
      <c r="D74" s="29"/>
      <c r="E74" s="30"/>
      <c r="F74" s="31"/>
      <c r="G74" s="39">
        <v>36636.199999999997</v>
      </c>
      <c r="H74" s="39">
        <v>4.45</v>
      </c>
      <c r="I74" s="33"/>
      <c r="J74" s="33"/>
      <c r="K74" s="34"/>
    </row>
    <row r="75" spans="1:54" x14ac:dyDescent="0.35">
      <c r="C75" s="21"/>
      <c r="D75" s="29"/>
      <c r="E75" s="30"/>
      <c r="F75" s="31"/>
      <c r="G75" s="32"/>
      <c r="H75" s="32"/>
      <c r="I75" s="33"/>
      <c r="J75" s="33"/>
      <c r="K75" s="34"/>
    </row>
    <row r="76" spans="1:54" ht="15" thickBot="1" x14ac:dyDescent="0.4">
      <c r="C76" s="40" t="s">
        <v>91</v>
      </c>
      <c r="D76" s="41"/>
      <c r="E76" s="42"/>
      <c r="F76" s="43"/>
      <c r="G76" s="44">
        <v>821522.84</v>
      </c>
      <c r="H76" s="44">
        <v>100</v>
      </c>
      <c r="I76" s="45"/>
      <c r="J76" s="45"/>
      <c r="K76" s="46"/>
    </row>
    <row r="78" spans="1:54" ht="15" x14ac:dyDescent="0.4">
      <c r="C78" s="47" t="s">
        <v>92</v>
      </c>
      <c r="D78" s="47"/>
      <c r="E78" s="47"/>
      <c r="F78" s="47"/>
      <c r="G78" s="48"/>
      <c r="H78" s="48"/>
      <c r="I78" s="48"/>
      <c r="J78" s="47"/>
    </row>
    <row r="79" spans="1:54" ht="27" x14ac:dyDescent="0.35">
      <c r="C79" s="49" t="s">
        <v>93</v>
      </c>
      <c r="D79" s="49" t="s">
        <v>94</v>
      </c>
      <c r="E79" s="49" t="s">
        <v>95</v>
      </c>
      <c r="F79" s="49" t="s">
        <v>96</v>
      </c>
      <c r="G79" s="50" t="s">
        <v>9</v>
      </c>
      <c r="H79" s="51" t="s">
        <v>97</v>
      </c>
      <c r="I79" s="50" t="s">
        <v>11</v>
      </c>
      <c r="J79" s="49" t="s">
        <v>14</v>
      </c>
    </row>
    <row r="80" spans="1:54" x14ac:dyDescent="0.35">
      <c r="C80" s="49" t="s">
        <v>98</v>
      </c>
      <c r="D80" s="49"/>
      <c r="E80" s="49"/>
      <c r="F80" s="49"/>
      <c r="G80" s="50"/>
      <c r="H80" s="51"/>
      <c r="I80" s="50"/>
      <c r="J80" s="49"/>
    </row>
    <row r="81" spans="3:11" x14ac:dyDescent="0.35">
      <c r="C81" s="52" t="s">
        <v>99</v>
      </c>
      <c r="D81" s="53"/>
      <c r="E81" s="53"/>
      <c r="F81" s="53"/>
      <c r="G81" s="54"/>
      <c r="H81" s="55">
        <v>-30000</v>
      </c>
      <c r="I81" s="56">
        <f>H81/$G$76*100</f>
        <v>-3.6517548313081591</v>
      </c>
      <c r="J81" s="49"/>
    </row>
    <row r="82" spans="3:11" x14ac:dyDescent="0.35">
      <c r="C82" s="52" t="s">
        <v>100</v>
      </c>
      <c r="D82" s="53"/>
      <c r="E82" s="53"/>
      <c r="F82" s="53"/>
      <c r="G82" s="54"/>
      <c r="H82" s="55">
        <v>-30000</v>
      </c>
      <c r="I82" s="56">
        <f t="shared" ref="I82:I88" si="0">H82/$G$76*100</f>
        <v>-3.6517548313081591</v>
      </c>
      <c r="J82" s="49"/>
    </row>
    <row r="83" spans="3:11" x14ac:dyDescent="0.35">
      <c r="C83" s="52" t="s">
        <v>101</v>
      </c>
      <c r="D83" s="53"/>
      <c r="E83" s="53"/>
      <c r="F83" s="53"/>
      <c r="G83" s="54"/>
      <c r="H83" s="55">
        <v>-30000</v>
      </c>
      <c r="I83" s="56">
        <f t="shared" si="0"/>
        <v>-3.6517548313081591</v>
      </c>
      <c r="J83" s="49"/>
    </row>
    <row r="84" spans="3:11" x14ac:dyDescent="0.35">
      <c r="C84" s="52" t="s">
        <v>102</v>
      </c>
      <c r="D84" s="53"/>
      <c r="E84" s="53"/>
      <c r="F84" s="53"/>
      <c r="G84" s="54"/>
      <c r="H84" s="55">
        <v>-30000</v>
      </c>
      <c r="I84" s="56">
        <f t="shared" si="0"/>
        <v>-3.6517548313081591</v>
      </c>
      <c r="J84" s="49"/>
    </row>
    <row r="85" spans="3:11" x14ac:dyDescent="0.35">
      <c r="C85" s="52" t="s">
        <v>102</v>
      </c>
      <c r="D85" s="53"/>
      <c r="E85" s="53"/>
      <c r="F85" s="53"/>
      <c r="G85" s="54"/>
      <c r="H85" s="55">
        <v>-30000</v>
      </c>
      <c r="I85" s="56">
        <f t="shared" si="0"/>
        <v>-3.6517548313081591</v>
      </c>
      <c r="J85" s="49"/>
    </row>
    <row r="86" spans="3:11" x14ac:dyDescent="0.35">
      <c r="C86" s="52" t="s">
        <v>103</v>
      </c>
      <c r="D86" s="53"/>
      <c r="E86" s="53"/>
      <c r="F86" s="53"/>
      <c r="G86" s="54"/>
      <c r="H86" s="55">
        <v>-30000</v>
      </c>
      <c r="I86" s="56">
        <f t="shared" si="0"/>
        <v>-3.6517548313081591</v>
      </c>
      <c r="J86" s="49"/>
    </row>
    <row r="87" spans="3:11" x14ac:dyDescent="0.35">
      <c r="C87" s="52" t="s">
        <v>104</v>
      </c>
      <c r="D87" s="53"/>
      <c r="E87" s="53"/>
      <c r="F87" s="53"/>
      <c r="G87" s="54"/>
      <c r="H87" s="55">
        <v>-30000</v>
      </c>
      <c r="I87" s="56">
        <f t="shared" si="0"/>
        <v>-3.6517548313081591</v>
      </c>
      <c r="J87" s="49"/>
    </row>
    <row r="88" spans="3:11" x14ac:dyDescent="0.35">
      <c r="C88" s="52" t="s">
        <v>105</v>
      </c>
      <c r="D88" s="53"/>
      <c r="E88" s="53"/>
      <c r="F88" s="53"/>
      <c r="G88" s="54"/>
      <c r="H88" s="55">
        <v>-30000</v>
      </c>
      <c r="I88" s="56">
        <f t="shared" si="0"/>
        <v>-3.6517548313081591</v>
      </c>
      <c r="J88" s="49"/>
    </row>
    <row r="89" spans="3:11" x14ac:dyDescent="0.35">
      <c r="C89" s="57" t="s">
        <v>106</v>
      </c>
      <c r="D89" s="57"/>
      <c r="E89" s="57"/>
      <c r="F89" s="57"/>
      <c r="G89" s="58"/>
      <c r="H89" s="58">
        <f>SUM(H81:H88)</f>
        <v>-240000</v>
      </c>
      <c r="I89" s="58">
        <f>SUM(I81:I88)</f>
        <v>-29.214038650465277</v>
      </c>
      <c r="J89" s="57"/>
    </row>
    <row r="91" spans="3:11" x14ac:dyDescent="0.35">
      <c r="C91" s="11" t="s">
        <v>107</v>
      </c>
    </row>
    <row r="92" spans="3:11" x14ac:dyDescent="0.35">
      <c r="C92" s="59" t="s">
        <v>108</v>
      </c>
      <c r="D92" s="59"/>
      <c r="E92" s="59"/>
      <c r="F92" s="59"/>
      <c r="G92" s="59"/>
      <c r="H92" s="59"/>
      <c r="I92" s="59"/>
      <c r="J92" s="59"/>
      <c r="K92" s="59"/>
    </row>
    <row r="93" spans="3:11" x14ac:dyDescent="0.35">
      <c r="C93" s="2" t="s">
        <v>109</v>
      </c>
    </row>
    <row r="94" spans="3:11" x14ac:dyDescent="0.35">
      <c r="C94" s="2" t="s">
        <v>110</v>
      </c>
    </row>
    <row r="95" spans="3:11" ht="30" customHeight="1" x14ac:dyDescent="0.35">
      <c r="C95" s="60" t="s">
        <v>111</v>
      </c>
      <c r="D95" s="61"/>
      <c r="E95" s="61"/>
      <c r="F95" s="61"/>
      <c r="G95" s="61"/>
      <c r="H95" s="61"/>
      <c r="I95" s="61"/>
      <c r="J95" s="61"/>
      <c r="K95" s="61"/>
    </row>
    <row r="96" spans="3:11" x14ac:dyDescent="0.35">
      <c r="C96" s="2" t="s">
        <v>112</v>
      </c>
    </row>
    <row r="97" spans="1:256" ht="51.75" customHeight="1" x14ac:dyDescent="0.35">
      <c r="C97" s="62" t="s">
        <v>113</v>
      </c>
      <c r="D97" s="62"/>
      <c r="E97" s="62"/>
      <c r="F97" s="62"/>
      <c r="G97" s="62"/>
      <c r="H97" s="62"/>
      <c r="I97" s="62"/>
      <c r="J97" s="62"/>
      <c r="K97" s="62"/>
    </row>
    <row r="99" spans="1:256" x14ac:dyDescent="0.35">
      <c r="C99" s="2" t="s">
        <v>114</v>
      </c>
      <c r="E99" s="2" t="s">
        <v>17</v>
      </c>
    </row>
    <row r="101" spans="1:256" x14ac:dyDescent="0.35">
      <c r="C101" s="2" t="s">
        <v>115</v>
      </c>
      <c r="E101" s="2" t="s">
        <v>17</v>
      </c>
    </row>
    <row r="103" spans="1:256" x14ac:dyDescent="0.35">
      <c r="C103" s="2" t="s">
        <v>116</v>
      </c>
    </row>
    <row r="105" spans="1:256" x14ac:dyDescent="0.35">
      <c r="C105" s="2" t="s">
        <v>117</v>
      </c>
    </row>
    <row r="106" spans="1:256" s="69" customFormat="1" ht="35.25" customHeight="1" x14ac:dyDescent="0.35">
      <c r="A106" s="63"/>
      <c r="B106" s="63"/>
      <c r="C106" s="64" t="s">
        <v>118</v>
      </c>
      <c r="D106" s="65" t="s">
        <v>119</v>
      </c>
      <c r="E106" s="65" t="s">
        <v>120</v>
      </c>
      <c r="F106" s="66"/>
      <c r="G106" s="67"/>
      <c r="H106" s="67"/>
      <c r="I106" s="67"/>
      <c r="J106" s="67"/>
      <c r="K106" s="68"/>
      <c r="L106" s="68"/>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8"/>
      <c r="AJ106" s="63"/>
      <c r="AK106" s="63"/>
      <c r="AL106" s="63"/>
      <c r="AM106" s="63"/>
      <c r="AN106" s="63"/>
      <c r="AO106" s="63"/>
      <c r="AP106" s="63"/>
      <c r="AQ106" s="63"/>
      <c r="AR106" s="63"/>
      <c r="AS106" s="63"/>
      <c r="AT106" s="63"/>
      <c r="AU106" s="63"/>
      <c r="AV106" s="68"/>
      <c r="AW106" s="63"/>
      <c r="AX106" s="68"/>
      <c r="AY106" s="63"/>
      <c r="AZ106" s="63"/>
      <c r="BA106" s="63"/>
      <c r="BB106" s="68"/>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3"/>
      <c r="BZ106" s="63"/>
      <c r="CA106" s="63"/>
      <c r="CB106" s="63"/>
      <c r="CC106" s="63"/>
      <c r="CD106" s="63"/>
      <c r="CE106" s="63"/>
      <c r="CF106" s="63"/>
      <c r="CG106" s="63"/>
      <c r="CH106" s="63"/>
      <c r="CI106" s="63"/>
      <c r="CJ106" s="63"/>
      <c r="CK106" s="63"/>
      <c r="CL106" s="63"/>
      <c r="CM106" s="63"/>
      <c r="CN106" s="63"/>
      <c r="CO106" s="63"/>
      <c r="CP106" s="63"/>
      <c r="CQ106" s="63"/>
      <c r="CR106" s="63"/>
      <c r="CS106" s="63"/>
      <c r="CT106" s="63"/>
      <c r="CU106" s="63"/>
      <c r="CV106" s="63"/>
      <c r="CW106" s="63"/>
      <c r="CX106" s="63"/>
      <c r="CY106" s="63"/>
      <c r="CZ106" s="63"/>
      <c r="DA106" s="63"/>
      <c r="DB106" s="63"/>
      <c r="DC106" s="63"/>
      <c r="DD106" s="63"/>
      <c r="DE106" s="63"/>
      <c r="DF106" s="63"/>
      <c r="DG106" s="63"/>
      <c r="DH106" s="63"/>
      <c r="DI106" s="63"/>
      <c r="DJ106" s="63"/>
      <c r="DK106" s="63"/>
      <c r="DL106" s="63"/>
      <c r="DM106" s="63"/>
      <c r="DN106" s="63"/>
      <c r="DO106" s="63"/>
      <c r="DP106" s="63"/>
      <c r="DQ106" s="63"/>
      <c r="DR106" s="63"/>
      <c r="DS106" s="63"/>
      <c r="DT106" s="63"/>
      <c r="DU106" s="63"/>
      <c r="DV106" s="63"/>
      <c r="DW106" s="63"/>
      <c r="DX106" s="63"/>
      <c r="DY106" s="63"/>
      <c r="DZ106" s="63"/>
      <c r="EA106" s="63"/>
      <c r="EB106" s="63"/>
      <c r="EC106" s="63"/>
      <c r="ED106" s="63"/>
      <c r="EE106" s="63"/>
      <c r="EF106" s="63"/>
      <c r="EG106" s="63"/>
      <c r="EH106" s="63"/>
      <c r="EI106" s="63"/>
      <c r="EJ106" s="63"/>
      <c r="EK106" s="63"/>
      <c r="EL106" s="63"/>
      <c r="EM106" s="63"/>
      <c r="EN106" s="63"/>
      <c r="EO106" s="63"/>
      <c r="EP106" s="63"/>
      <c r="EQ106" s="63"/>
      <c r="ER106" s="63"/>
      <c r="ES106" s="63"/>
      <c r="ET106" s="63"/>
      <c r="EU106" s="63"/>
      <c r="EV106" s="63"/>
      <c r="EW106" s="63"/>
      <c r="EX106" s="63"/>
      <c r="EY106" s="63"/>
      <c r="EZ106" s="63"/>
      <c r="FA106" s="63"/>
      <c r="FB106" s="63"/>
      <c r="FC106" s="63"/>
      <c r="FD106" s="63"/>
      <c r="FE106" s="63"/>
      <c r="FF106" s="63"/>
      <c r="FG106" s="63"/>
      <c r="FH106" s="63"/>
      <c r="FI106" s="63"/>
      <c r="FJ106" s="63"/>
      <c r="FK106" s="63"/>
      <c r="FL106" s="63"/>
      <c r="FM106" s="63"/>
      <c r="FN106" s="63"/>
      <c r="FO106" s="63"/>
      <c r="FP106" s="63"/>
      <c r="FQ106" s="63"/>
      <c r="FR106" s="63"/>
      <c r="FS106" s="63"/>
      <c r="FT106" s="63"/>
      <c r="FU106" s="63"/>
      <c r="FV106" s="63"/>
      <c r="FW106" s="63"/>
      <c r="FX106" s="63"/>
      <c r="FY106" s="63"/>
      <c r="FZ106" s="63"/>
      <c r="GA106" s="63"/>
      <c r="GB106" s="63"/>
      <c r="GC106" s="63"/>
      <c r="GD106" s="63"/>
      <c r="GE106" s="63"/>
      <c r="GF106" s="63"/>
      <c r="GG106" s="63"/>
      <c r="GH106" s="63"/>
      <c r="GI106" s="63"/>
      <c r="GJ106" s="63"/>
      <c r="GK106" s="63"/>
      <c r="GL106" s="63"/>
      <c r="GM106" s="63"/>
      <c r="GN106" s="63"/>
      <c r="GO106" s="63"/>
      <c r="GP106" s="63"/>
      <c r="GQ106" s="63"/>
      <c r="GR106" s="63"/>
      <c r="GS106" s="63"/>
      <c r="GT106" s="63"/>
      <c r="GU106" s="63"/>
      <c r="GV106" s="63"/>
      <c r="GW106" s="63"/>
      <c r="GX106" s="63"/>
      <c r="GY106" s="63"/>
      <c r="GZ106" s="63"/>
      <c r="HA106" s="63"/>
      <c r="HB106" s="63"/>
      <c r="HC106" s="63"/>
      <c r="HD106" s="63"/>
      <c r="HE106" s="63"/>
      <c r="HF106" s="63"/>
      <c r="HG106" s="63"/>
      <c r="HH106" s="63"/>
      <c r="HI106" s="63"/>
      <c r="HJ106" s="63"/>
      <c r="HK106" s="63"/>
      <c r="HL106" s="63"/>
      <c r="HM106" s="63"/>
      <c r="HN106" s="63"/>
      <c r="HO106" s="63"/>
      <c r="HP106" s="63"/>
      <c r="HQ106" s="63"/>
      <c r="HR106" s="63"/>
      <c r="HS106" s="63"/>
      <c r="HT106" s="63"/>
      <c r="HU106" s="63"/>
      <c r="HV106" s="63"/>
      <c r="HW106" s="63"/>
      <c r="HX106" s="63"/>
      <c r="HY106" s="63"/>
      <c r="HZ106" s="63"/>
      <c r="IA106" s="63"/>
      <c r="IB106" s="63"/>
      <c r="IC106" s="63"/>
      <c r="ID106" s="63"/>
      <c r="IE106" s="63"/>
      <c r="IF106" s="63"/>
      <c r="IG106" s="63"/>
      <c r="IH106" s="63"/>
      <c r="II106" s="63"/>
      <c r="IJ106" s="63"/>
      <c r="IK106" s="63"/>
      <c r="IL106" s="63"/>
      <c r="IM106" s="63"/>
      <c r="IN106" s="63"/>
      <c r="IO106" s="63"/>
      <c r="IP106" s="63"/>
      <c r="IQ106" s="63"/>
      <c r="IR106" s="63"/>
      <c r="IS106" s="63"/>
      <c r="IT106" s="63"/>
      <c r="IU106" s="63"/>
      <c r="IV106" s="63"/>
    </row>
    <row r="107" spans="1:256" s="69" customFormat="1" x14ac:dyDescent="0.35">
      <c r="A107" s="63"/>
      <c r="B107" s="63"/>
      <c r="C107" s="70" t="s">
        <v>121</v>
      </c>
      <c r="D107" s="71">
        <v>21.095199999999998</v>
      </c>
      <c r="E107" s="71">
        <v>21.093699999999998</v>
      </c>
      <c r="F107" s="66"/>
      <c r="G107" s="67"/>
      <c r="H107" s="67"/>
      <c r="I107" s="67"/>
      <c r="J107" s="67"/>
      <c r="K107" s="68"/>
      <c r="L107" s="68"/>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8"/>
      <c r="AJ107" s="63"/>
      <c r="AK107" s="63"/>
      <c r="AL107" s="63"/>
      <c r="AM107" s="63"/>
      <c r="AN107" s="63"/>
      <c r="AO107" s="63"/>
      <c r="AP107" s="63"/>
      <c r="AQ107" s="63"/>
      <c r="AR107" s="63"/>
      <c r="AS107" s="63"/>
      <c r="AT107" s="63"/>
      <c r="AU107" s="63"/>
      <c r="AV107" s="68"/>
      <c r="AW107" s="63"/>
      <c r="AX107" s="68"/>
      <c r="AY107" s="63"/>
      <c r="AZ107" s="63"/>
      <c r="BA107" s="63"/>
      <c r="BB107" s="68"/>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63"/>
      <c r="CH107" s="63"/>
      <c r="CI107" s="63"/>
      <c r="CJ107" s="63"/>
      <c r="CK107" s="63"/>
      <c r="CL107" s="63"/>
      <c r="CM107" s="63"/>
      <c r="CN107" s="63"/>
      <c r="CO107" s="63"/>
      <c r="CP107" s="63"/>
      <c r="CQ107" s="63"/>
      <c r="CR107" s="63"/>
      <c r="CS107" s="63"/>
      <c r="CT107" s="63"/>
      <c r="CU107" s="63"/>
      <c r="CV107" s="63"/>
      <c r="CW107" s="63"/>
      <c r="CX107" s="63"/>
      <c r="CY107" s="63"/>
      <c r="CZ107" s="63"/>
      <c r="DA107" s="63"/>
      <c r="DB107" s="63"/>
      <c r="DC107" s="63"/>
      <c r="DD107" s="63"/>
      <c r="DE107" s="63"/>
      <c r="DF107" s="63"/>
      <c r="DG107" s="63"/>
      <c r="DH107" s="63"/>
      <c r="DI107" s="63"/>
      <c r="DJ107" s="63"/>
      <c r="DK107" s="63"/>
      <c r="DL107" s="63"/>
      <c r="DM107" s="63"/>
      <c r="DN107" s="63"/>
      <c r="DO107" s="63"/>
      <c r="DP107" s="63"/>
      <c r="DQ107" s="63"/>
      <c r="DR107" s="63"/>
      <c r="DS107" s="63"/>
      <c r="DT107" s="63"/>
      <c r="DU107" s="63"/>
      <c r="DV107" s="63"/>
      <c r="DW107" s="63"/>
      <c r="DX107" s="63"/>
      <c r="DY107" s="63"/>
      <c r="DZ107" s="63"/>
      <c r="EA107" s="63"/>
      <c r="EB107" s="63"/>
      <c r="EC107" s="63"/>
      <c r="ED107" s="63"/>
      <c r="EE107" s="63"/>
      <c r="EF107" s="63"/>
      <c r="EG107" s="63"/>
      <c r="EH107" s="63"/>
      <c r="EI107" s="63"/>
      <c r="EJ107" s="63"/>
      <c r="EK107" s="63"/>
      <c r="EL107" s="63"/>
      <c r="EM107" s="63"/>
      <c r="EN107" s="63"/>
      <c r="EO107" s="63"/>
      <c r="EP107" s="63"/>
      <c r="EQ107" s="63"/>
      <c r="ER107" s="63"/>
      <c r="ES107" s="63"/>
      <c r="ET107" s="63"/>
      <c r="EU107" s="63"/>
      <c r="EV107" s="63"/>
      <c r="EW107" s="63"/>
      <c r="EX107" s="63"/>
      <c r="EY107" s="63"/>
      <c r="EZ107" s="63"/>
      <c r="FA107" s="63"/>
      <c r="FB107" s="63"/>
      <c r="FC107" s="63"/>
      <c r="FD107" s="63"/>
      <c r="FE107" s="63"/>
      <c r="FF107" s="63"/>
      <c r="FG107" s="63"/>
      <c r="FH107" s="63"/>
      <c r="FI107" s="63"/>
      <c r="FJ107" s="63"/>
      <c r="FK107" s="63"/>
      <c r="FL107" s="63"/>
      <c r="FM107" s="63"/>
      <c r="FN107" s="63"/>
      <c r="FO107" s="63"/>
      <c r="FP107" s="63"/>
      <c r="FQ107" s="63"/>
      <c r="FR107" s="63"/>
      <c r="FS107" s="63"/>
      <c r="FT107" s="63"/>
      <c r="FU107" s="63"/>
      <c r="FV107" s="63"/>
      <c r="FW107" s="63"/>
      <c r="FX107" s="63"/>
      <c r="FY107" s="63"/>
      <c r="FZ107" s="63"/>
      <c r="GA107" s="63"/>
      <c r="GB107" s="63"/>
      <c r="GC107" s="63"/>
      <c r="GD107" s="63"/>
      <c r="GE107" s="63"/>
      <c r="GF107" s="63"/>
      <c r="GG107" s="63"/>
      <c r="GH107" s="63"/>
      <c r="GI107" s="63"/>
      <c r="GJ107" s="63"/>
      <c r="GK107" s="63"/>
      <c r="GL107" s="63"/>
      <c r="GM107" s="63"/>
      <c r="GN107" s="63"/>
      <c r="GO107" s="63"/>
      <c r="GP107" s="63"/>
      <c r="GQ107" s="63"/>
      <c r="GR107" s="63"/>
      <c r="GS107" s="63"/>
      <c r="GT107" s="63"/>
      <c r="GU107" s="63"/>
      <c r="GV107" s="63"/>
      <c r="GW107" s="63"/>
      <c r="GX107" s="63"/>
      <c r="GY107" s="63"/>
      <c r="GZ107" s="63"/>
      <c r="HA107" s="63"/>
      <c r="HB107" s="63"/>
      <c r="HC107" s="63"/>
      <c r="HD107" s="63"/>
      <c r="HE107" s="63"/>
      <c r="HF107" s="63"/>
      <c r="HG107" s="63"/>
      <c r="HH107" s="63"/>
      <c r="HI107" s="63"/>
      <c r="HJ107" s="63"/>
      <c r="HK107" s="63"/>
      <c r="HL107" s="63"/>
      <c r="HM107" s="63"/>
      <c r="HN107" s="63"/>
      <c r="HO107" s="63"/>
      <c r="HP107" s="63"/>
      <c r="HQ107" s="63"/>
      <c r="HR107" s="63"/>
      <c r="HS107" s="63"/>
      <c r="HT107" s="63"/>
      <c r="HU107" s="63"/>
      <c r="HV107" s="63"/>
      <c r="HW107" s="63"/>
      <c r="HX107" s="63"/>
      <c r="HY107" s="63"/>
      <c r="HZ107" s="63"/>
      <c r="IA107" s="63"/>
      <c r="IB107" s="63"/>
      <c r="IC107" s="63"/>
      <c r="ID107" s="63"/>
      <c r="IE107" s="63"/>
      <c r="IF107" s="63"/>
      <c r="IG107" s="63"/>
      <c r="IH107" s="63"/>
      <c r="II107" s="63"/>
      <c r="IJ107" s="63"/>
      <c r="IK107" s="63"/>
      <c r="IL107" s="63"/>
      <c r="IM107" s="63"/>
      <c r="IN107" s="63"/>
      <c r="IO107" s="63"/>
      <c r="IP107" s="63"/>
      <c r="IQ107" s="63"/>
      <c r="IR107" s="63"/>
      <c r="IS107" s="63"/>
      <c r="IT107" s="63"/>
      <c r="IU107" s="63"/>
      <c r="IV107" s="63"/>
    </row>
    <row r="108" spans="1:256" s="69" customFormat="1" x14ac:dyDescent="0.35">
      <c r="A108" s="63"/>
      <c r="B108" s="63"/>
      <c r="C108" s="70" t="s">
        <v>122</v>
      </c>
      <c r="D108" s="71">
        <v>21.348099999999999</v>
      </c>
      <c r="E108" s="71">
        <v>21.346699999999998</v>
      </c>
      <c r="F108" s="66"/>
      <c r="G108" s="67"/>
      <c r="H108" s="67"/>
      <c r="I108" s="67"/>
      <c r="J108" s="67"/>
      <c r="K108" s="68"/>
      <c r="L108" s="68"/>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8"/>
      <c r="AJ108" s="63"/>
      <c r="AK108" s="63"/>
      <c r="AL108" s="63"/>
      <c r="AM108" s="63"/>
      <c r="AN108" s="63"/>
      <c r="AO108" s="63"/>
      <c r="AP108" s="63"/>
      <c r="AQ108" s="63"/>
      <c r="AR108" s="63"/>
      <c r="AS108" s="63"/>
      <c r="AT108" s="63"/>
      <c r="AU108" s="63"/>
      <c r="AV108" s="68"/>
      <c r="AW108" s="63"/>
      <c r="AX108" s="68"/>
      <c r="AY108" s="63"/>
      <c r="AZ108" s="63"/>
      <c r="BA108" s="63"/>
      <c r="BB108" s="68"/>
      <c r="BC108" s="63"/>
      <c r="BD108" s="63"/>
      <c r="BE108" s="63"/>
      <c r="BF108" s="63"/>
      <c r="BG108" s="63"/>
      <c r="BH108" s="63"/>
      <c r="BI108" s="63"/>
      <c r="BJ108" s="63"/>
      <c r="BK108" s="63"/>
      <c r="BL108" s="63"/>
      <c r="BM108" s="63"/>
      <c r="BN108" s="63"/>
      <c r="BO108" s="63"/>
      <c r="BP108" s="63"/>
      <c r="BQ108" s="63"/>
      <c r="BR108" s="63"/>
      <c r="BS108" s="63"/>
      <c r="BT108" s="63"/>
      <c r="BU108" s="63"/>
      <c r="BV108" s="63"/>
      <c r="BW108" s="63"/>
      <c r="BX108" s="63"/>
      <c r="BY108" s="63"/>
      <c r="BZ108" s="63"/>
      <c r="CA108" s="63"/>
      <c r="CB108" s="63"/>
      <c r="CC108" s="63"/>
      <c r="CD108" s="63"/>
      <c r="CE108" s="63"/>
      <c r="CF108" s="63"/>
      <c r="CG108" s="63"/>
      <c r="CH108" s="63"/>
      <c r="CI108" s="63"/>
      <c r="CJ108" s="63"/>
      <c r="CK108" s="63"/>
      <c r="CL108" s="63"/>
      <c r="CM108" s="63"/>
      <c r="CN108" s="63"/>
      <c r="CO108" s="63"/>
      <c r="CP108" s="63"/>
      <c r="CQ108" s="63"/>
      <c r="CR108" s="63"/>
      <c r="CS108" s="63"/>
      <c r="CT108" s="63"/>
      <c r="CU108" s="63"/>
      <c r="CV108" s="63"/>
      <c r="CW108" s="63"/>
      <c r="CX108" s="63"/>
      <c r="CY108" s="63"/>
      <c r="CZ108" s="63"/>
      <c r="DA108" s="63"/>
      <c r="DB108" s="63"/>
      <c r="DC108" s="63"/>
      <c r="DD108" s="63"/>
      <c r="DE108" s="63"/>
      <c r="DF108" s="63"/>
      <c r="DG108" s="63"/>
      <c r="DH108" s="63"/>
      <c r="DI108" s="63"/>
      <c r="DJ108" s="63"/>
      <c r="DK108" s="63"/>
      <c r="DL108" s="63"/>
      <c r="DM108" s="63"/>
      <c r="DN108" s="63"/>
      <c r="DO108" s="63"/>
      <c r="DP108" s="63"/>
      <c r="DQ108" s="63"/>
      <c r="DR108" s="63"/>
      <c r="DS108" s="63"/>
      <c r="DT108" s="63"/>
      <c r="DU108" s="63"/>
      <c r="DV108" s="63"/>
      <c r="DW108" s="63"/>
      <c r="DX108" s="63"/>
      <c r="DY108" s="63"/>
      <c r="DZ108" s="63"/>
      <c r="EA108" s="63"/>
      <c r="EB108" s="63"/>
      <c r="EC108" s="63"/>
      <c r="ED108" s="63"/>
      <c r="EE108" s="63"/>
      <c r="EF108" s="63"/>
      <c r="EG108" s="63"/>
      <c r="EH108" s="63"/>
      <c r="EI108" s="63"/>
      <c r="EJ108" s="63"/>
      <c r="EK108" s="63"/>
      <c r="EL108" s="63"/>
      <c r="EM108" s="63"/>
      <c r="EN108" s="63"/>
      <c r="EO108" s="63"/>
      <c r="EP108" s="63"/>
      <c r="EQ108" s="63"/>
      <c r="ER108" s="63"/>
      <c r="ES108" s="63"/>
      <c r="ET108" s="63"/>
      <c r="EU108" s="63"/>
      <c r="EV108" s="63"/>
      <c r="EW108" s="63"/>
      <c r="EX108" s="63"/>
      <c r="EY108" s="63"/>
      <c r="EZ108" s="63"/>
      <c r="FA108" s="63"/>
      <c r="FB108" s="63"/>
      <c r="FC108" s="63"/>
      <c r="FD108" s="63"/>
      <c r="FE108" s="63"/>
      <c r="FF108" s="63"/>
      <c r="FG108" s="63"/>
      <c r="FH108" s="63"/>
      <c r="FI108" s="63"/>
      <c r="FJ108" s="63"/>
      <c r="FK108" s="63"/>
      <c r="FL108" s="63"/>
      <c r="FM108" s="63"/>
      <c r="FN108" s="63"/>
      <c r="FO108" s="63"/>
      <c r="FP108" s="63"/>
      <c r="FQ108" s="63"/>
      <c r="FR108" s="63"/>
      <c r="FS108" s="63"/>
      <c r="FT108" s="63"/>
      <c r="FU108" s="63"/>
      <c r="FV108" s="63"/>
      <c r="FW108" s="63"/>
      <c r="FX108" s="63"/>
      <c r="FY108" s="63"/>
      <c r="FZ108" s="63"/>
      <c r="GA108" s="63"/>
      <c r="GB108" s="63"/>
      <c r="GC108" s="63"/>
      <c r="GD108" s="63"/>
      <c r="GE108" s="63"/>
      <c r="GF108" s="63"/>
      <c r="GG108" s="63"/>
      <c r="GH108" s="63"/>
      <c r="GI108" s="63"/>
      <c r="GJ108" s="63"/>
      <c r="GK108" s="63"/>
      <c r="GL108" s="63"/>
      <c r="GM108" s="63"/>
      <c r="GN108" s="63"/>
      <c r="GO108" s="63"/>
      <c r="GP108" s="63"/>
      <c r="GQ108" s="63"/>
      <c r="GR108" s="63"/>
      <c r="GS108" s="63"/>
      <c r="GT108" s="63"/>
      <c r="GU108" s="63"/>
      <c r="GV108" s="63"/>
      <c r="GW108" s="63"/>
      <c r="GX108" s="63"/>
      <c r="GY108" s="63"/>
      <c r="GZ108" s="63"/>
      <c r="HA108" s="63"/>
      <c r="HB108" s="63"/>
      <c r="HC108" s="63"/>
      <c r="HD108" s="63"/>
      <c r="HE108" s="63"/>
      <c r="HF108" s="63"/>
      <c r="HG108" s="63"/>
      <c r="HH108" s="63"/>
      <c r="HI108" s="63"/>
      <c r="HJ108" s="63"/>
      <c r="HK108" s="63"/>
      <c r="HL108" s="63"/>
      <c r="HM108" s="63"/>
      <c r="HN108" s="63"/>
      <c r="HO108" s="63"/>
      <c r="HP108" s="63"/>
      <c r="HQ108" s="63"/>
      <c r="HR108" s="63"/>
      <c r="HS108" s="63"/>
      <c r="HT108" s="63"/>
      <c r="HU108" s="63"/>
      <c r="HV108" s="63"/>
      <c r="HW108" s="63"/>
      <c r="HX108" s="63"/>
      <c r="HY108" s="63"/>
      <c r="HZ108" s="63"/>
      <c r="IA108" s="63"/>
      <c r="IB108" s="63"/>
      <c r="IC108" s="63"/>
      <c r="ID108" s="63"/>
      <c r="IE108" s="63"/>
      <c r="IF108" s="63"/>
      <c r="IG108" s="63"/>
      <c r="IH108" s="63"/>
      <c r="II108" s="63"/>
      <c r="IJ108" s="63"/>
      <c r="IK108" s="63"/>
      <c r="IL108" s="63"/>
      <c r="IM108" s="63"/>
      <c r="IN108" s="63"/>
      <c r="IO108" s="63"/>
      <c r="IP108" s="63"/>
      <c r="IQ108" s="63"/>
      <c r="IR108" s="63"/>
      <c r="IS108" s="63"/>
      <c r="IT108" s="63"/>
      <c r="IU108" s="63"/>
      <c r="IV108" s="63"/>
    </row>
    <row r="109" spans="1:256" s="69" customFormat="1" x14ac:dyDescent="0.35">
      <c r="A109" s="63"/>
      <c r="B109" s="63"/>
      <c r="C109" s="70" t="s">
        <v>123</v>
      </c>
      <c r="D109" s="71">
        <v>20.698799999999999</v>
      </c>
      <c r="E109" s="71">
        <v>20.697399999999998</v>
      </c>
      <c r="F109" s="66"/>
      <c r="G109" s="67"/>
      <c r="H109" s="67"/>
      <c r="I109" s="67"/>
      <c r="J109" s="67"/>
      <c r="K109" s="68"/>
      <c r="L109" s="68"/>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8"/>
      <c r="AJ109" s="63"/>
      <c r="AK109" s="63"/>
      <c r="AL109" s="63"/>
      <c r="AM109" s="63"/>
      <c r="AN109" s="63"/>
      <c r="AO109" s="63"/>
      <c r="AP109" s="63"/>
      <c r="AQ109" s="63"/>
      <c r="AR109" s="63"/>
      <c r="AS109" s="63"/>
      <c r="AT109" s="63"/>
      <c r="AU109" s="63"/>
      <c r="AV109" s="68"/>
      <c r="AW109" s="63"/>
      <c r="AX109" s="68"/>
      <c r="AY109" s="63"/>
      <c r="AZ109" s="63"/>
      <c r="BA109" s="63"/>
      <c r="BB109" s="68"/>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c r="CH109" s="63"/>
      <c r="CI109" s="63"/>
      <c r="CJ109" s="63"/>
      <c r="CK109" s="63"/>
      <c r="CL109" s="63"/>
      <c r="CM109" s="63"/>
      <c r="CN109" s="63"/>
      <c r="CO109" s="63"/>
      <c r="CP109" s="63"/>
      <c r="CQ109" s="63"/>
      <c r="CR109" s="63"/>
      <c r="CS109" s="63"/>
      <c r="CT109" s="63"/>
      <c r="CU109" s="63"/>
      <c r="CV109" s="63"/>
      <c r="CW109" s="63"/>
      <c r="CX109" s="63"/>
      <c r="CY109" s="63"/>
      <c r="CZ109" s="63"/>
      <c r="DA109" s="63"/>
      <c r="DB109" s="63"/>
      <c r="DC109" s="63"/>
      <c r="DD109" s="63"/>
      <c r="DE109" s="63"/>
      <c r="DF109" s="63"/>
      <c r="DG109" s="63"/>
      <c r="DH109" s="63"/>
      <c r="DI109" s="63"/>
      <c r="DJ109" s="63"/>
      <c r="DK109" s="63"/>
      <c r="DL109" s="63"/>
      <c r="DM109" s="63"/>
      <c r="DN109" s="63"/>
      <c r="DO109" s="63"/>
      <c r="DP109" s="63"/>
      <c r="DQ109" s="63"/>
      <c r="DR109" s="63"/>
      <c r="DS109" s="63"/>
      <c r="DT109" s="63"/>
      <c r="DU109" s="63"/>
      <c r="DV109" s="63"/>
      <c r="DW109" s="63"/>
      <c r="DX109" s="63"/>
      <c r="DY109" s="63"/>
      <c r="DZ109" s="63"/>
      <c r="EA109" s="63"/>
      <c r="EB109" s="63"/>
      <c r="EC109" s="63"/>
      <c r="ED109" s="63"/>
      <c r="EE109" s="63"/>
      <c r="EF109" s="63"/>
      <c r="EG109" s="63"/>
      <c r="EH109" s="63"/>
      <c r="EI109" s="63"/>
      <c r="EJ109" s="63"/>
      <c r="EK109" s="63"/>
      <c r="EL109" s="63"/>
      <c r="EM109" s="63"/>
      <c r="EN109" s="63"/>
      <c r="EO109" s="63"/>
      <c r="EP109" s="63"/>
      <c r="EQ109" s="63"/>
      <c r="ER109" s="63"/>
      <c r="ES109" s="63"/>
      <c r="ET109" s="63"/>
      <c r="EU109" s="63"/>
      <c r="EV109" s="63"/>
      <c r="EW109" s="63"/>
      <c r="EX109" s="63"/>
      <c r="EY109" s="63"/>
      <c r="EZ109" s="63"/>
      <c r="FA109" s="63"/>
      <c r="FB109" s="63"/>
      <c r="FC109" s="63"/>
      <c r="FD109" s="63"/>
      <c r="FE109" s="63"/>
      <c r="FF109" s="63"/>
      <c r="FG109" s="63"/>
      <c r="FH109" s="63"/>
      <c r="FI109" s="63"/>
      <c r="FJ109" s="63"/>
      <c r="FK109" s="63"/>
      <c r="FL109" s="63"/>
      <c r="FM109" s="63"/>
      <c r="FN109" s="63"/>
      <c r="FO109" s="63"/>
      <c r="FP109" s="63"/>
      <c r="FQ109" s="63"/>
      <c r="FR109" s="63"/>
      <c r="FS109" s="63"/>
      <c r="FT109" s="63"/>
      <c r="FU109" s="63"/>
      <c r="FV109" s="63"/>
      <c r="FW109" s="63"/>
      <c r="FX109" s="63"/>
      <c r="FY109" s="63"/>
      <c r="FZ109" s="63"/>
      <c r="GA109" s="63"/>
      <c r="GB109" s="63"/>
      <c r="GC109" s="63"/>
      <c r="GD109" s="63"/>
      <c r="GE109" s="63"/>
      <c r="GF109" s="63"/>
      <c r="GG109" s="63"/>
      <c r="GH109" s="63"/>
      <c r="GI109" s="63"/>
      <c r="GJ109" s="63"/>
      <c r="GK109" s="63"/>
      <c r="GL109" s="63"/>
      <c r="GM109" s="63"/>
      <c r="GN109" s="63"/>
      <c r="GO109" s="63"/>
      <c r="GP109" s="63"/>
      <c r="GQ109" s="63"/>
      <c r="GR109" s="63"/>
      <c r="GS109" s="63"/>
      <c r="GT109" s="63"/>
      <c r="GU109" s="63"/>
      <c r="GV109" s="63"/>
      <c r="GW109" s="63"/>
      <c r="GX109" s="63"/>
      <c r="GY109" s="63"/>
      <c r="GZ109" s="63"/>
      <c r="HA109" s="63"/>
      <c r="HB109" s="63"/>
      <c r="HC109" s="63"/>
      <c r="HD109" s="63"/>
      <c r="HE109" s="63"/>
      <c r="HF109" s="63"/>
      <c r="HG109" s="63"/>
      <c r="HH109" s="63"/>
      <c r="HI109" s="63"/>
      <c r="HJ109" s="63"/>
      <c r="HK109" s="63"/>
      <c r="HL109" s="63"/>
      <c r="HM109" s="63"/>
      <c r="HN109" s="63"/>
      <c r="HO109" s="63"/>
      <c r="HP109" s="63"/>
      <c r="HQ109" s="63"/>
      <c r="HR109" s="63"/>
      <c r="HS109" s="63"/>
      <c r="HT109" s="63"/>
      <c r="HU109" s="63"/>
      <c r="HV109" s="63"/>
      <c r="HW109" s="63"/>
      <c r="HX109" s="63"/>
      <c r="HY109" s="63"/>
      <c r="HZ109" s="63"/>
      <c r="IA109" s="63"/>
      <c r="IB109" s="63"/>
      <c r="IC109" s="63"/>
      <c r="ID109" s="63"/>
      <c r="IE109" s="63"/>
      <c r="IF109" s="63"/>
      <c r="IG109" s="63"/>
      <c r="IH109" s="63"/>
      <c r="II109" s="63"/>
      <c r="IJ109" s="63"/>
      <c r="IK109" s="63"/>
      <c r="IL109" s="63"/>
      <c r="IM109" s="63"/>
      <c r="IN109" s="63"/>
      <c r="IO109" s="63"/>
      <c r="IP109" s="63"/>
      <c r="IQ109" s="63"/>
      <c r="IR109" s="63"/>
      <c r="IS109" s="63"/>
      <c r="IT109" s="63"/>
      <c r="IU109" s="63"/>
      <c r="IV109" s="63"/>
    </row>
    <row r="110" spans="1:256" s="69" customFormat="1" x14ac:dyDescent="0.35">
      <c r="A110" s="63"/>
      <c r="B110" s="63"/>
      <c r="C110" s="70" t="s">
        <v>124</v>
      </c>
      <c r="D110" s="71">
        <v>40.957000000000001</v>
      </c>
      <c r="E110" s="71">
        <v>40.954300000000003</v>
      </c>
      <c r="F110" s="66"/>
      <c r="G110" s="67"/>
      <c r="H110" s="67"/>
      <c r="I110" s="67"/>
      <c r="J110" s="67"/>
      <c r="K110" s="68"/>
      <c r="L110" s="68"/>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8"/>
      <c r="AJ110" s="63"/>
      <c r="AK110" s="63"/>
      <c r="AL110" s="63"/>
      <c r="AM110" s="63"/>
      <c r="AN110" s="63"/>
      <c r="AO110" s="63"/>
      <c r="AP110" s="63"/>
      <c r="AQ110" s="63"/>
      <c r="AR110" s="63"/>
      <c r="AS110" s="63"/>
      <c r="AT110" s="63"/>
      <c r="AU110" s="63"/>
      <c r="AV110" s="68"/>
      <c r="AW110" s="63"/>
      <c r="AX110" s="68"/>
      <c r="AY110" s="63"/>
      <c r="AZ110" s="63"/>
      <c r="BA110" s="63"/>
      <c r="BB110" s="68"/>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3"/>
      <c r="CG110" s="63"/>
      <c r="CH110" s="63"/>
      <c r="CI110" s="63"/>
      <c r="CJ110" s="63"/>
      <c r="CK110" s="63"/>
      <c r="CL110" s="63"/>
      <c r="CM110" s="63"/>
      <c r="CN110" s="63"/>
      <c r="CO110" s="63"/>
      <c r="CP110" s="63"/>
      <c r="CQ110" s="63"/>
      <c r="CR110" s="63"/>
      <c r="CS110" s="63"/>
      <c r="CT110" s="63"/>
      <c r="CU110" s="63"/>
      <c r="CV110" s="63"/>
      <c r="CW110" s="63"/>
      <c r="CX110" s="63"/>
      <c r="CY110" s="63"/>
      <c r="CZ110" s="63"/>
      <c r="DA110" s="63"/>
      <c r="DB110" s="63"/>
      <c r="DC110" s="63"/>
      <c r="DD110" s="63"/>
      <c r="DE110" s="63"/>
      <c r="DF110" s="63"/>
      <c r="DG110" s="63"/>
      <c r="DH110" s="63"/>
      <c r="DI110" s="63"/>
      <c r="DJ110" s="63"/>
      <c r="DK110" s="63"/>
      <c r="DL110" s="63"/>
      <c r="DM110" s="63"/>
      <c r="DN110" s="63"/>
      <c r="DO110" s="63"/>
      <c r="DP110" s="63"/>
      <c r="DQ110" s="63"/>
      <c r="DR110" s="63"/>
      <c r="DS110" s="63"/>
      <c r="DT110" s="63"/>
      <c r="DU110" s="63"/>
      <c r="DV110" s="63"/>
      <c r="DW110" s="63"/>
      <c r="DX110" s="63"/>
      <c r="DY110" s="63"/>
      <c r="DZ110" s="63"/>
      <c r="EA110" s="63"/>
      <c r="EB110" s="63"/>
      <c r="EC110" s="63"/>
      <c r="ED110" s="63"/>
      <c r="EE110" s="63"/>
      <c r="EF110" s="63"/>
      <c r="EG110" s="63"/>
      <c r="EH110" s="63"/>
      <c r="EI110" s="63"/>
      <c r="EJ110" s="63"/>
      <c r="EK110" s="63"/>
      <c r="EL110" s="63"/>
      <c r="EM110" s="63"/>
      <c r="EN110" s="63"/>
      <c r="EO110" s="63"/>
      <c r="EP110" s="63"/>
      <c r="EQ110" s="63"/>
      <c r="ER110" s="63"/>
      <c r="ES110" s="63"/>
      <c r="ET110" s="63"/>
      <c r="EU110" s="63"/>
      <c r="EV110" s="63"/>
      <c r="EW110" s="63"/>
      <c r="EX110" s="63"/>
      <c r="EY110" s="63"/>
      <c r="EZ110" s="63"/>
      <c r="FA110" s="63"/>
      <c r="FB110" s="63"/>
      <c r="FC110" s="63"/>
      <c r="FD110" s="63"/>
      <c r="FE110" s="63"/>
      <c r="FF110" s="63"/>
      <c r="FG110" s="63"/>
      <c r="FH110" s="63"/>
      <c r="FI110" s="63"/>
      <c r="FJ110" s="63"/>
      <c r="FK110" s="63"/>
      <c r="FL110" s="63"/>
      <c r="FM110" s="63"/>
      <c r="FN110" s="63"/>
      <c r="FO110" s="63"/>
      <c r="FP110" s="63"/>
      <c r="FQ110" s="63"/>
      <c r="FR110" s="63"/>
      <c r="FS110" s="63"/>
      <c r="FT110" s="63"/>
      <c r="FU110" s="63"/>
      <c r="FV110" s="63"/>
      <c r="FW110" s="63"/>
      <c r="FX110" s="63"/>
      <c r="FY110" s="63"/>
      <c r="FZ110" s="63"/>
      <c r="GA110" s="63"/>
      <c r="GB110" s="63"/>
      <c r="GC110" s="63"/>
      <c r="GD110" s="63"/>
      <c r="GE110" s="63"/>
      <c r="GF110" s="63"/>
      <c r="GG110" s="63"/>
      <c r="GH110" s="63"/>
      <c r="GI110" s="63"/>
      <c r="GJ110" s="63"/>
      <c r="GK110" s="63"/>
      <c r="GL110" s="63"/>
      <c r="GM110" s="63"/>
      <c r="GN110" s="63"/>
      <c r="GO110" s="63"/>
      <c r="GP110" s="63"/>
      <c r="GQ110" s="63"/>
      <c r="GR110" s="63"/>
      <c r="GS110" s="63"/>
      <c r="GT110" s="63"/>
      <c r="GU110" s="63"/>
      <c r="GV110" s="63"/>
      <c r="GW110" s="63"/>
      <c r="GX110" s="63"/>
      <c r="GY110" s="63"/>
      <c r="GZ110" s="63"/>
      <c r="HA110" s="63"/>
      <c r="HB110" s="63"/>
      <c r="HC110" s="63"/>
      <c r="HD110" s="63"/>
      <c r="HE110" s="63"/>
      <c r="HF110" s="63"/>
      <c r="HG110" s="63"/>
      <c r="HH110" s="63"/>
      <c r="HI110" s="63"/>
      <c r="HJ110" s="63"/>
      <c r="HK110" s="63"/>
      <c r="HL110" s="63"/>
      <c r="HM110" s="63"/>
      <c r="HN110" s="63"/>
      <c r="HO110" s="63"/>
      <c r="HP110" s="63"/>
      <c r="HQ110" s="63"/>
      <c r="HR110" s="63"/>
      <c r="HS110" s="63"/>
      <c r="HT110" s="63"/>
      <c r="HU110" s="63"/>
      <c r="HV110" s="63"/>
      <c r="HW110" s="63"/>
      <c r="HX110" s="63"/>
      <c r="HY110" s="63"/>
      <c r="HZ110" s="63"/>
      <c r="IA110" s="63"/>
      <c r="IB110" s="63"/>
      <c r="IC110" s="63"/>
      <c r="ID110" s="63"/>
      <c r="IE110" s="63"/>
      <c r="IF110" s="63"/>
      <c r="IG110" s="63"/>
      <c r="IH110" s="63"/>
      <c r="II110" s="63"/>
      <c r="IJ110" s="63"/>
      <c r="IK110" s="63"/>
      <c r="IL110" s="63"/>
      <c r="IM110" s="63"/>
      <c r="IN110" s="63"/>
      <c r="IO110" s="63"/>
      <c r="IP110" s="63"/>
      <c r="IQ110" s="63"/>
      <c r="IR110" s="63"/>
      <c r="IS110" s="63"/>
      <c r="IT110" s="63"/>
      <c r="IU110" s="63"/>
      <c r="IV110" s="63"/>
    </row>
    <row r="111" spans="1:256" s="69" customFormat="1" x14ac:dyDescent="0.35">
      <c r="A111" s="63"/>
      <c r="B111" s="63"/>
      <c r="C111" s="70" t="s">
        <v>125</v>
      </c>
      <c r="D111" s="71">
        <v>43.846200000000003</v>
      </c>
      <c r="E111" s="71">
        <v>43.843299999999999</v>
      </c>
      <c r="F111" s="66"/>
      <c r="G111" s="67"/>
      <c r="H111" s="67"/>
      <c r="I111" s="67"/>
      <c r="J111" s="67"/>
      <c r="K111" s="68"/>
      <c r="L111" s="68"/>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8"/>
      <c r="AJ111" s="63"/>
      <c r="AK111" s="63"/>
      <c r="AL111" s="63"/>
      <c r="AM111" s="63"/>
      <c r="AN111" s="63"/>
      <c r="AO111" s="63"/>
      <c r="AP111" s="63"/>
      <c r="AQ111" s="63"/>
      <c r="AR111" s="63"/>
      <c r="AS111" s="63"/>
      <c r="AT111" s="63"/>
      <c r="AU111" s="63"/>
      <c r="AV111" s="68"/>
      <c r="AW111" s="63"/>
      <c r="AX111" s="68"/>
      <c r="AY111" s="63"/>
      <c r="AZ111" s="63"/>
      <c r="BA111" s="63"/>
      <c r="BB111" s="68"/>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3"/>
      <c r="BZ111" s="63"/>
      <c r="CA111" s="63"/>
      <c r="CB111" s="63"/>
      <c r="CC111" s="63"/>
      <c r="CD111" s="63"/>
      <c r="CE111" s="63"/>
      <c r="CF111" s="63"/>
      <c r="CG111" s="63"/>
      <c r="CH111" s="63"/>
      <c r="CI111" s="63"/>
      <c r="CJ111" s="63"/>
      <c r="CK111" s="63"/>
      <c r="CL111" s="63"/>
      <c r="CM111" s="63"/>
      <c r="CN111" s="63"/>
      <c r="CO111" s="63"/>
      <c r="CP111" s="63"/>
      <c r="CQ111" s="63"/>
      <c r="CR111" s="63"/>
      <c r="CS111" s="63"/>
      <c r="CT111" s="63"/>
      <c r="CU111" s="63"/>
      <c r="CV111" s="63"/>
      <c r="CW111" s="63"/>
      <c r="CX111" s="63"/>
      <c r="CY111" s="63"/>
      <c r="CZ111" s="63"/>
      <c r="DA111" s="63"/>
      <c r="DB111" s="63"/>
      <c r="DC111" s="63"/>
      <c r="DD111" s="63"/>
      <c r="DE111" s="63"/>
      <c r="DF111" s="63"/>
      <c r="DG111" s="63"/>
      <c r="DH111" s="63"/>
      <c r="DI111" s="63"/>
      <c r="DJ111" s="63"/>
      <c r="DK111" s="63"/>
      <c r="DL111" s="63"/>
      <c r="DM111" s="63"/>
      <c r="DN111" s="63"/>
      <c r="DO111" s="63"/>
      <c r="DP111" s="63"/>
      <c r="DQ111" s="63"/>
      <c r="DR111" s="63"/>
      <c r="DS111" s="63"/>
      <c r="DT111" s="63"/>
      <c r="DU111" s="63"/>
      <c r="DV111" s="63"/>
      <c r="DW111" s="63"/>
      <c r="DX111" s="63"/>
      <c r="DY111" s="63"/>
      <c r="DZ111" s="63"/>
      <c r="EA111" s="63"/>
      <c r="EB111" s="63"/>
      <c r="EC111" s="63"/>
      <c r="ED111" s="63"/>
      <c r="EE111" s="63"/>
      <c r="EF111" s="63"/>
      <c r="EG111" s="63"/>
      <c r="EH111" s="63"/>
      <c r="EI111" s="63"/>
      <c r="EJ111" s="63"/>
      <c r="EK111" s="63"/>
      <c r="EL111" s="63"/>
      <c r="EM111" s="63"/>
      <c r="EN111" s="63"/>
      <c r="EO111" s="63"/>
      <c r="EP111" s="63"/>
      <c r="EQ111" s="63"/>
      <c r="ER111" s="63"/>
      <c r="ES111" s="63"/>
      <c r="ET111" s="63"/>
      <c r="EU111" s="63"/>
      <c r="EV111" s="63"/>
      <c r="EW111" s="63"/>
      <c r="EX111" s="63"/>
      <c r="EY111" s="63"/>
      <c r="EZ111" s="63"/>
      <c r="FA111" s="63"/>
      <c r="FB111" s="63"/>
      <c r="FC111" s="63"/>
      <c r="FD111" s="63"/>
      <c r="FE111" s="63"/>
      <c r="FF111" s="63"/>
      <c r="FG111" s="63"/>
      <c r="FH111" s="63"/>
      <c r="FI111" s="63"/>
      <c r="FJ111" s="63"/>
      <c r="FK111" s="63"/>
      <c r="FL111" s="63"/>
      <c r="FM111" s="63"/>
      <c r="FN111" s="63"/>
      <c r="FO111" s="63"/>
      <c r="FP111" s="63"/>
      <c r="FQ111" s="63"/>
      <c r="FR111" s="63"/>
      <c r="FS111" s="63"/>
      <c r="FT111" s="63"/>
      <c r="FU111" s="63"/>
      <c r="FV111" s="63"/>
      <c r="FW111" s="63"/>
      <c r="FX111" s="63"/>
      <c r="FY111" s="63"/>
      <c r="FZ111" s="63"/>
      <c r="GA111" s="63"/>
      <c r="GB111" s="63"/>
      <c r="GC111" s="63"/>
      <c r="GD111" s="63"/>
      <c r="GE111" s="63"/>
      <c r="GF111" s="63"/>
      <c r="GG111" s="63"/>
      <c r="GH111" s="63"/>
      <c r="GI111" s="63"/>
      <c r="GJ111" s="63"/>
      <c r="GK111" s="63"/>
      <c r="GL111" s="63"/>
      <c r="GM111" s="63"/>
      <c r="GN111" s="63"/>
      <c r="GO111" s="63"/>
      <c r="GP111" s="63"/>
      <c r="GQ111" s="63"/>
      <c r="GR111" s="63"/>
      <c r="GS111" s="63"/>
      <c r="GT111" s="63"/>
      <c r="GU111" s="63"/>
      <c r="GV111" s="63"/>
      <c r="GW111" s="63"/>
      <c r="GX111" s="63"/>
      <c r="GY111" s="63"/>
      <c r="GZ111" s="63"/>
      <c r="HA111" s="63"/>
      <c r="HB111" s="63"/>
      <c r="HC111" s="63"/>
      <c r="HD111" s="63"/>
      <c r="HE111" s="63"/>
      <c r="HF111" s="63"/>
      <c r="HG111" s="63"/>
      <c r="HH111" s="63"/>
      <c r="HI111" s="63"/>
      <c r="HJ111" s="63"/>
      <c r="HK111" s="63"/>
      <c r="HL111" s="63"/>
      <c r="HM111" s="63"/>
      <c r="HN111" s="63"/>
      <c r="HO111" s="63"/>
      <c r="HP111" s="63"/>
      <c r="HQ111" s="63"/>
      <c r="HR111" s="63"/>
      <c r="HS111" s="63"/>
      <c r="HT111" s="63"/>
      <c r="HU111" s="63"/>
      <c r="HV111" s="63"/>
      <c r="HW111" s="63"/>
      <c r="HX111" s="63"/>
      <c r="HY111" s="63"/>
      <c r="HZ111" s="63"/>
      <c r="IA111" s="63"/>
      <c r="IB111" s="63"/>
      <c r="IC111" s="63"/>
      <c r="ID111" s="63"/>
      <c r="IE111" s="63"/>
      <c r="IF111" s="63"/>
      <c r="IG111" s="63"/>
      <c r="IH111" s="63"/>
      <c r="II111" s="63"/>
      <c r="IJ111" s="63"/>
      <c r="IK111" s="63"/>
      <c r="IL111" s="63"/>
      <c r="IM111" s="63"/>
      <c r="IN111" s="63"/>
      <c r="IO111" s="63"/>
      <c r="IP111" s="63"/>
      <c r="IQ111" s="63"/>
      <c r="IR111" s="63"/>
      <c r="IS111" s="63"/>
      <c r="IT111" s="63"/>
      <c r="IU111" s="63"/>
      <c r="IV111" s="63"/>
    </row>
    <row r="112" spans="1:256" s="69" customFormat="1" x14ac:dyDescent="0.35">
      <c r="A112" s="63"/>
      <c r="B112" s="63"/>
      <c r="C112" s="70" t="s">
        <v>126</v>
      </c>
      <c r="D112" s="71">
        <v>20.996700000000001</v>
      </c>
      <c r="E112" s="71">
        <v>20.9954</v>
      </c>
      <c r="F112" s="66"/>
      <c r="G112" s="67"/>
      <c r="H112" s="67"/>
      <c r="I112" s="67"/>
      <c r="J112" s="67"/>
      <c r="K112" s="68"/>
      <c r="L112" s="68"/>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8"/>
      <c r="AJ112" s="63"/>
      <c r="AK112" s="63"/>
      <c r="AL112" s="63"/>
      <c r="AM112" s="63"/>
      <c r="AN112" s="63"/>
      <c r="AO112" s="63"/>
      <c r="AP112" s="63"/>
      <c r="AQ112" s="63"/>
      <c r="AR112" s="63"/>
      <c r="AS112" s="63"/>
      <c r="AT112" s="63"/>
      <c r="AU112" s="63"/>
      <c r="AV112" s="68"/>
      <c r="AW112" s="63"/>
      <c r="AX112" s="68"/>
      <c r="AY112" s="63"/>
      <c r="AZ112" s="63"/>
      <c r="BA112" s="63"/>
      <c r="BB112" s="68"/>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c r="CC112" s="63"/>
      <c r="CD112" s="63"/>
      <c r="CE112" s="63"/>
      <c r="CF112" s="63"/>
      <c r="CG112" s="63"/>
      <c r="CH112" s="63"/>
      <c r="CI112" s="63"/>
      <c r="CJ112" s="63"/>
      <c r="CK112" s="63"/>
      <c r="CL112" s="63"/>
      <c r="CM112" s="63"/>
      <c r="CN112" s="63"/>
      <c r="CO112" s="63"/>
      <c r="CP112" s="63"/>
      <c r="CQ112" s="63"/>
      <c r="CR112" s="63"/>
      <c r="CS112" s="63"/>
      <c r="CT112" s="63"/>
      <c r="CU112" s="63"/>
      <c r="CV112" s="63"/>
      <c r="CW112" s="63"/>
      <c r="CX112" s="63"/>
      <c r="CY112" s="63"/>
      <c r="CZ112" s="63"/>
      <c r="DA112" s="63"/>
      <c r="DB112" s="63"/>
      <c r="DC112" s="63"/>
      <c r="DD112" s="63"/>
      <c r="DE112" s="63"/>
      <c r="DF112" s="63"/>
      <c r="DG112" s="63"/>
      <c r="DH112" s="63"/>
      <c r="DI112" s="63"/>
      <c r="DJ112" s="63"/>
      <c r="DK112" s="63"/>
      <c r="DL112" s="63"/>
      <c r="DM112" s="63"/>
      <c r="DN112" s="63"/>
      <c r="DO112" s="63"/>
      <c r="DP112" s="63"/>
      <c r="DQ112" s="63"/>
      <c r="DR112" s="63"/>
      <c r="DS112" s="63"/>
      <c r="DT112" s="63"/>
      <c r="DU112" s="63"/>
      <c r="DV112" s="63"/>
      <c r="DW112" s="63"/>
      <c r="DX112" s="63"/>
      <c r="DY112" s="63"/>
      <c r="DZ112" s="63"/>
      <c r="EA112" s="63"/>
      <c r="EB112" s="63"/>
      <c r="EC112" s="63"/>
      <c r="ED112" s="63"/>
      <c r="EE112" s="63"/>
      <c r="EF112" s="63"/>
      <c r="EG112" s="63"/>
      <c r="EH112" s="63"/>
      <c r="EI112" s="63"/>
      <c r="EJ112" s="63"/>
      <c r="EK112" s="63"/>
      <c r="EL112" s="63"/>
      <c r="EM112" s="63"/>
      <c r="EN112" s="63"/>
      <c r="EO112" s="63"/>
      <c r="EP112" s="63"/>
      <c r="EQ112" s="63"/>
      <c r="ER112" s="63"/>
      <c r="ES112" s="63"/>
      <c r="ET112" s="63"/>
      <c r="EU112" s="63"/>
      <c r="EV112" s="63"/>
      <c r="EW112" s="63"/>
      <c r="EX112" s="63"/>
      <c r="EY112" s="63"/>
      <c r="EZ112" s="63"/>
      <c r="FA112" s="63"/>
      <c r="FB112" s="63"/>
      <c r="FC112" s="63"/>
      <c r="FD112" s="63"/>
      <c r="FE112" s="63"/>
      <c r="FF112" s="63"/>
      <c r="FG112" s="63"/>
      <c r="FH112" s="63"/>
      <c r="FI112" s="63"/>
      <c r="FJ112" s="63"/>
      <c r="FK112" s="63"/>
      <c r="FL112" s="63"/>
      <c r="FM112" s="63"/>
      <c r="FN112" s="63"/>
      <c r="FO112" s="63"/>
      <c r="FP112" s="63"/>
      <c r="FQ112" s="63"/>
      <c r="FR112" s="63"/>
      <c r="FS112" s="63"/>
      <c r="FT112" s="63"/>
      <c r="FU112" s="63"/>
      <c r="FV112" s="63"/>
      <c r="FW112" s="63"/>
      <c r="FX112" s="63"/>
      <c r="FY112" s="63"/>
      <c r="FZ112" s="63"/>
      <c r="GA112" s="63"/>
      <c r="GB112" s="63"/>
      <c r="GC112" s="63"/>
      <c r="GD112" s="63"/>
      <c r="GE112" s="63"/>
      <c r="GF112" s="63"/>
      <c r="GG112" s="63"/>
      <c r="GH112" s="63"/>
      <c r="GI112" s="63"/>
      <c r="GJ112" s="63"/>
      <c r="GK112" s="63"/>
      <c r="GL112" s="63"/>
      <c r="GM112" s="63"/>
      <c r="GN112" s="63"/>
      <c r="GO112" s="63"/>
      <c r="GP112" s="63"/>
      <c r="GQ112" s="63"/>
      <c r="GR112" s="63"/>
      <c r="GS112" s="63"/>
      <c r="GT112" s="63"/>
      <c r="GU112" s="63"/>
      <c r="GV112" s="63"/>
      <c r="GW112" s="63"/>
      <c r="GX112" s="63"/>
      <c r="GY112" s="63"/>
      <c r="GZ112" s="63"/>
      <c r="HA112" s="63"/>
      <c r="HB112" s="63"/>
      <c r="HC112" s="63"/>
      <c r="HD112" s="63"/>
      <c r="HE112" s="63"/>
      <c r="HF112" s="63"/>
      <c r="HG112" s="63"/>
      <c r="HH112" s="63"/>
      <c r="HI112" s="63"/>
      <c r="HJ112" s="63"/>
      <c r="HK112" s="63"/>
      <c r="HL112" s="63"/>
      <c r="HM112" s="63"/>
      <c r="HN112" s="63"/>
      <c r="HO112" s="63"/>
      <c r="HP112" s="63"/>
      <c r="HQ112" s="63"/>
      <c r="HR112" s="63"/>
      <c r="HS112" s="63"/>
      <c r="HT112" s="63"/>
      <c r="HU112" s="63"/>
      <c r="HV112" s="63"/>
      <c r="HW112" s="63"/>
      <c r="HX112" s="63"/>
      <c r="HY112" s="63"/>
      <c r="HZ112" s="63"/>
      <c r="IA112" s="63"/>
      <c r="IB112" s="63"/>
      <c r="IC112" s="63"/>
      <c r="ID112" s="63"/>
      <c r="IE112" s="63"/>
      <c r="IF112" s="63"/>
      <c r="IG112" s="63"/>
      <c r="IH112" s="63"/>
      <c r="II112" s="63"/>
      <c r="IJ112" s="63"/>
      <c r="IK112" s="63"/>
      <c r="IL112" s="63"/>
      <c r="IM112" s="63"/>
      <c r="IN112" s="63"/>
      <c r="IO112" s="63"/>
      <c r="IP112" s="63"/>
      <c r="IQ112" s="63"/>
      <c r="IR112" s="63"/>
      <c r="IS112" s="63"/>
      <c r="IT112" s="63"/>
      <c r="IU112" s="63"/>
      <c r="IV112" s="63"/>
    </row>
    <row r="113" spans="1:256" s="69" customFormat="1" x14ac:dyDescent="0.35">
      <c r="A113" s="63"/>
      <c r="B113" s="63"/>
      <c r="C113" s="70" t="s">
        <v>127</v>
      </c>
      <c r="D113" s="71">
        <v>68.282700000000006</v>
      </c>
      <c r="E113" s="71">
        <v>68.278300000000002</v>
      </c>
      <c r="F113" s="66"/>
      <c r="G113" s="67"/>
      <c r="H113" s="67"/>
      <c r="I113" s="67"/>
      <c r="J113" s="67"/>
      <c r="K113" s="68"/>
      <c r="L113" s="68"/>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8"/>
      <c r="AJ113" s="63"/>
      <c r="AK113" s="63"/>
      <c r="AL113" s="63"/>
      <c r="AM113" s="63"/>
      <c r="AN113" s="63"/>
      <c r="AO113" s="63"/>
      <c r="AP113" s="63"/>
      <c r="AQ113" s="63"/>
      <c r="AR113" s="63"/>
      <c r="AS113" s="63"/>
      <c r="AT113" s="63"/>
      <c r="AU113" s="63"/>
      <c r="AV113" s="68"/>
      <c r="AW113" s="63"/>
      <c r="AX113" s="68"/>
      <c r="AY113" s="63"/>
      <c r="AZ113" s="63"/>
      <c r="BA113" s="63"/>
      <c r="BB113" s="68"/>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3"/>
      <c r="BZ113" s="63"/>
      <c r="CA113" s="63"/>
      <c r="CB113" s="63"/>
      <c r="CC113" s="63"/>
      <c r="CD113" s="63"/>
      <c r="CE113" s="63"/>
      <c r="CF113" s="63"/>
      <c r="CG113" s="63"/>
      <c r="CH113" s="63"/>
      <c r="CI113" s="63"/>
      <c r="CJ113" s="63"/>
      <c r="CK113" s="63"/>
      <c r="CL113" s="63"/>
      <c r="CM113" s="63"/>
      <c r="CN113" s="63"/>
      <c r="CO113" s="63"/>
      <c r="CP113" s="63"/>
      <c r="CQ113" s="63"/>
      <c r="CR113" s="63"/>
      <c r="CS113" s="63"/>
      <c r="CT113" s="63"/>
      <c r="CU113" s="63"/>
      <c r="CV113" s="63"/>
      <c r="CW113" s="63"/>
      <c r="CX113" s="63"/>
      <c r="CY113" s="63"/>
      <c r="CZ113" s="63"/>
      <c r="DA113" s="63"/>
      <c r="DB113" s="63"/>
      <c r="DC113" s="63"/>
      <c r="DD113" s="63"/>
      <c r="DE113" s="63"/>
      <c r="DF113" s="63"/>
      <c r="DG113" s="63"/>
      <c r="DH113" s="63"/>
      <c r="DI113" s="63"/>
      <c r="DJ113" s="63"/>
      <c r="DK113" s="63"/>
      <c r="DL113" s="63"/>
      <c r="DM113" s="63"/>
      <c r="DN113" s="63"/>
      <c r="DO113" s="63"/>
      <c r="DP113" s="63"/>
      <c r="DQ113" s="63"/>
      <c r="DR113" s="63"/>
      <c r="DS113" s="63"/>
      <c r="DT113" s="63"/>
      <c r="DU113" s="63"/>
      <c r="DV113" s="63"/>
      <c r="DW113" s="63"/>
      <c r="DX113" s="63"/>
      <c r="DY113" s="63"/>
      <c r="DZ113" s="63"/>
      <c r="EA113" s="63"/>
      <c r="EB113" s="63"/>
      <c r="EC113" s="63"/>
      <c r="ED113" s="63"/>
      <c r="EE113" s="63"/>
      <c r="EF113" s="63"/>
      <c r="EG113" s="63"/>
      <c r="EH113" s="63"/>
      <c r="EI113" s="63"/>
      <c r="EJ113" s="63"/>
      <c r="EK113" s="63"/>
      <c r="EL113" s="63"/>
      <c r="EM113" s="63"/>
      <c r="EN113" s="63"/>
      <c r="EO113" s="63"/>
      <c r="EP113" s="63"/>
      <c r="EQ113" s="63"/>
      <c r="ER113" s="63"/>
      <c r="ES113" s="63"/>
      <c r="ET113" s="63"/>
      <c r="EU113" s="63"/>
      <c r="EV113" s="63"/>
      <c r="EW113" s="63"/>
      <c r="EX113" s="63"/>
      <c r="EY113" s="63"/>
      <c r="EZ113" s="63"/>
      <c r="FA113" s="63"/>
      <c r="FB113" s="63"/>
      <c r="FC113" s="63"/>
      <c r="FD113" s="63"/>
      <c r="FE113" s="63"/>
      <c r="FF113" s="63"/>
      <c r="FG113" s="63"/>
      <c r="FH113" s="63"/>
      <c r="FI113" s="63"/>
      <c r="FJ113" s="63"/>
      <c r="FK113" s="63"/>
      <c r="FL113" s="63"/>
      <c r="FM113" s="63"/>
      <c r="FN113" s="63"/>
      <c r="FO113" s="63"/>
      <c r="FP113" s="63"/>
      <c r="FQ113" s="63"/>
      <c r="FR113" s="63"/>
      <c r="FS113" s="63"/>
      <c r="FT113" s="63"/>
      <c r="FU113" s="63"/>
      <c r="FV113" s="63"/>
      <c r="FW113" s="63"/>
      <c r="FX113" s="63"/>
      <c r="FY113" s="63"/>
      <c r="FZ113" s="63"/>
      <c r="GA113" s="63"/>
      <c r="GB113" s="63"/>
      <c r="GC113" s="63"/>
      <c r="GD113" s="63"/>
      <c r="GE113" s="63"/>
      <c r="GF113" s="63"/>
      <c r="GG113" s="63"/>
      <c r="GH113" s="63"/>
      <c r="GI113" s="63"/>
      <c r="GJ113" s="63"/>
      <c r="GK113" s="63"/>
      <c r="GL113" s="63"/>
      <c r="GM113" s="63"/>
      <c r="GN113" s="63"/>
      <c r="GO113" s="63"/>
      <c r="GP113" s="63"/>
      <c r="GQ113" s="63"/>
      <c r="GR113" s="63"/>
      <c r="GS113" s="63"/>
      <c r="GT113" s="63"/>
      <c r="GU113" s="63"/>
      <c r="GV113" s="63"/>
      <c r="GW113" s="63"/>
      <c r="GX113" s="63"/>
      <c r="GY113" s="63"/>
      <c r="GZ113" s="63"/>
      <c r="HA113" s="63"/>
      <c r="HB113" s="63"/>
      <c r="HC113" s="63"/>
      <c r="HD113" s="63"/>
      <c r="HE113" s="63"/>
      <c r="HF113" s="63"/>
      <c r="HG113" s="63"/>
      <c r="HH113" s="63"/>
      <c r="HI113" s="63"/>
      <c r="HJ113" s="63"/>
      <c r="HK113" s="63"/>
      <c r="HL113" s="63"/>
      <c r="HM113" s="63"/>
      <c r="HN113" s="63"/>
      <c r="HO113" s="63"/>
      <c r="HP113" s="63"/>
      <c r="HQ113" s="63"/>
      <c r="HR113" s="63"/>
      <c r="HS113" s="63"/>
      <c r="HT113" s="63"/>
      <c r="HU113" s="63"/>
      <c r="HV113" s="63"/>
      <c r="HW113" s="63"/>
      <c r="HX113" s="63"/>
      <c r="HY113" s="63"/>
      <c r="HZ113" s="63"/>
      <c r="IA113" s="63"/>
      <c r="IB113" s="63"/>
      <c r="IC113" s="63"/>
      <c r="ID113" s="63"/>
      <c r="IE113" s="63"/>
      <c r="IF113" s="63"/>
      <c r="IG113" s="63"/>
      <c r="IH113" s="63"/>
      <c r="II113" s="63"/>
      <c r="IJ113" s="63"/>
      <c r="IK113" s="63"/>
      <c r="IL113" s="63"/>
      <c r="IM113" s="63"/>
      <c r="IN113" s="63"/>
      <c r="IO113" s="63"/>
      <c r="IP113" s="63"/>
      <c r="IQ113" s="63"/>
      <c r="IR113" s="63"/>
      <c r="IS113" s="63"/>
      <c r="IT113" s="63"/>
      <c r="IU113" s="63"/>
      <c r="IV113" s="63"/>
    </row>
    <row r="114" spans="1:256" s="69" customFormat="1" x14ac:dyDescent="0.35">
      <c r="A114" s="63"/>
      <c r="B114" s="63"/>
      <c r="C114" s="70" t="s">
        <v>128</v>
      </c>
      <c r="D114" s="71">
        <v>23.202100000000002</v>
      </c>
      <c r="E114" s="71">
        <v>23.2103</v>
      </c>
      <c r="F114" s="66"/>
      <c r="G114" s="67"/>
      <c r="H114" s="67"/>
      <c r="I114" s="67"/>
      <c r="J114" s="67"/>
      <c r="K114" s="68"/>
      <c r="L114" s="68"/>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8"/>
      <c r="AJ114" s="63"/>
      <c r="AK114" s="63"/>
      <c r="AL114" s="63"/>
      <c r="AM114" s="63"/>
      <c r="AN114" s="63"/>
      <c r="AO114" s="63"/>
      <c r="AP114" s="63"/>
      <c r="AQ114" s="63"/>
      <c r="AR114" s="63"/>
      <c r="AS114" s="63"/>
      <c r="AT114" s="63"/>
      <c r="AU114" s="63"/>
      <c r="AV114" s="68"/>
      <c r="AW114" s="63"/>
      <c r="AX114" s="68"/>
      <c r="AY114" s="63"/>
      <c r="AZ114" s="63"/>
      <c r="BA114" s="63"/>
      <c r="BB114" s="68"/>
      <c r="BC114" s="63"/>
      <c r="BD114" s="63"/>
      <c r="BE114" s="63"/>
      <c r="BF114" s="63"/>
      <c r="BG114" s="63"/>
      <c r="BH114" s="63"/>
      <c r="BI114" s="63"/>
      <c r="BJ114" s="63"/>
      <c r="BK114" s="63"/>
      <c r="BL114" s="63"/>
      <c r="BM114" s="63"/>
      <c r="BN114" s="63"/>
      <c r="BO114" s="63"/>
      <c r="BP114" s="63"/>
      <c r="BQ114" s="63"/>
      <c r="BR114" s="63"/>
      <c r="BS114" s="63"/>
      <c r="BT114" s="63"/>
      <c r="BU114" s="63"/>
      <c r="BV114" s="63"/>
      <c r="BW114" s="63"/>
      <c r="BX114" s="63"/>
      <c r="BY114" s="63"/>
      <c r="BZ114" s="63"/>
      <c r="CA114" s="63"/>
      <c r="CB114" s="63"/>
      <c r="CC114" s="63"/>
      <c r="CD114" s="63"/>
      <c r="CE114" s="63"/>
      <c r="CF114" s="63"/>
      <c r="CG114" s="63"/>
      <c r="CH114" s="63"/>
      <c r="CI114" s="63"/>
      <c r="CJ114" s="63"/>
      <c r="CK114" s="63"/>
      <c r="CL114" s="63"/>
      <c r="CM114" s="63"/>
      <c r="CN114" s="63"/>
      <c r="CO114" s="63"/>
      <c r="CP114" s="63"/>
      <c r="CQ114" s="63"/>
      <c r="CR114" s="63"/>
      <c r="CS114" s="63"/>
      <c r="CT114" s="63"/>
      <c r="CU114" s="63"/>
      <c r="CV114" s="63"/>
      <c r="CW114" s="63"/>
      <c r="CX114" s="63"/>
      <c r="CY114" s="63"/>
      <c r="CZ114" s="63"/>
      <c r="DA114" s="63"/>
      <c r="DB114" s="63"/>
      <c r="DC114" s="63"/>
      <c r="DD114" s="63"/>
      <c r="DE114" s="63"/>
      <c r="DF114" s="63"/>
      <c r="DG114" s="63"/>
      <c r="DH114" s="63"/>
      <c r="DI114" s="63"/>
      <c r="DJ114" s="63"/>
      <c r="DK114" s="63"/>
      <c r="DL114" s="63"/>
      <c r="DM114" s="63"/>
      <c r="DN114" s="63"/>
      <c r="DO114" s="63"/>
      <c r="DP114" s="63"/>
      <c r="DQ114" s="63"/>
      <c r="DR114" s="63"/>
      <c r="DS114" s="63"/>
      <c r="DT114" s="63"/>
      <c r="DU114" s="63"/>
      <c r="DV114" s="63"/>
      <c r="DW114" s="63"/>
      <c r="DX114" s="63"/>
      <c r="DY114" s="63"/>
      <c r="DZ114" s="63"/>
      <c r="EA114" s="63"/>
      <c r="EB114" s="63"/>
      <c r="EC114" s="63"/>
      <c r="ED114" s="63"/>
      <c r="EE114" s="63"/>
      <c r="EF114" s="63"/>
      <c r="EG114" s="63"/>
      <c r="EH114" s="63"/>
      <c r="EI114" s="63"/>
      <c r="EJ114" s="63"/>
      <c r="EK114" s="63"/>
      <c r="EL114" s="63"/>
      <c r="EM114" s="63"/>
      <c r="EN114" s="63"/>
      <c r="EO114" s="63"/>
      <c r="EP114" s="63"/>
      <c r="EQ114" s="63"/>
      <c r="ER114" s="63"/>
      <c r="ES114" s="63"/>
      <c r="ET114" s="63"/>
      <c r="EU114" s="63"/>
      <c r="EV114" s="63"/>
      <c r="EW114" s="63"/>
      <c r="EX114" s="63"/>
      <c r="EY114" s="63"/>
      <c r="EZ114" s="63"/>
      <c r="FA114" s="63"/>
      <c r="FB114" s="63"/>
      <c r="FC114" s="63"/>
      <c r="FD114" s="63"/>
      <c r="FE114" s="63"/>
      <c r="FF114" s="63"/>
      <c r="FG114" s="63"/>
      <c r="FH114" s="63"/>
      <c r="FI114" s="63"/>
      <c r="FJ114" s="63"/>
      <c r="FK114" s="63"/>
      <c r="FL114" s="63"/>
      <c r="FM114" s="63"/>
      <c r="FN114" s="63"/>
      <c r="FO114" s="63"/>
      <c r="FP114" s="63"/>
      <c r="FQ114" s="63"/>
      <c r="FR114" s="63"/>
      <c r="FS114" s="63"/>
      <c r="FT114" s="63"/>
      <c r="FU114" s="63"/>
      <c r="FV114" s="63"/>
      <c r="FW114" s="63"/>
      <c r="FX114" s="63"/>
      <c r="FY114" s="63"/>
      <c r="FZ114" s="63"/>
      <c r="GA114" s="63"/>
      <c r="GB114" s="63"/>
      <c r="GC114" s="63"/>
      <c r="GD114" s="63"/>
      <c r="GE114" s="63"/>
      <c r="GF114" s="63"/>
      <c r="GG114" s="63"/>
      <c r="GH114" s="63"/>
      <c r="GI114" s="63"/>
      <c r="GJ114" s="63"/>
      <c r="GK114" s="63"/>
      <c r="GL114" s="63"/>
      <c r="GM114" s="63"/>
      <c r="GN114" s="63"/>
      <c r="GO114" s="63"/>
      <c r="GP114" s="63"/>
      <c r="GQ114" s="63"/>
      <c r="GR114" s="63"/>
      <c r="GS114" s="63"/>
      <c r="GT114" s="63"/>
      <c r="GU114" s="63"/>
      <c r="GV114" s="63"/>
      <c r="GW114" s="63"/>
      <c r="GX114" s="63"/>
      <c r="GY114" s="63"/>
      <c r="GZ114" s="63"/>
      <c r="HA114" s="63"/>
      <c r="HB114" s="63"/>
      <c r="HC114" s="63"/>
      <c r="HD114" s="63"/>
      <c r="HE114" s="63"/>
      <c r="HF114" s="63"/>
      <c r="HG114" s="63"/>
      <c r="HH114" s="63"/>
      <c r="HI114" s="63"/>
      <c r="HJ114" s="63"/>
      <c r="HK114" s="63"/>
      <c r="HL114" s="63"/>
      <c r="HM114" s="63"/>
      <c r="HN114" s="63"/>
      <c r="HO114" s="63"/>
      <c r="HP114" s="63"/>
      <c r="HQ114" s="63"/>
      <c r="HR114" s="63"/>
      <c r="HS114" s="63"/>
      <c r="HT114" s="63"/>
      <c r="HU114" s="63"/>
      <c r="HV114" s="63"/>
      <c r="HW114" s="63"/>
      <c r="HX114" s="63"/>
      <c r="HY114" s="63"/>
      <c r="HZ114" s="63"/>
      <c r="IA114" s="63"/>
      <c r="IB114" s="63"/>
      <c r="IC114" s="63"/>
      <c r="ID114" s="63"/>
      <c r="IE114" s="63"/>
      <c r="IF114" s="63"/>
      <c r="IG114" s="63"/>
      <c r="IH114" s="63"/>
      <c r="II114" s="63"/>
      <c r="IJ114" s="63"/>
      <c r="IK114" s="63"/>
      <c r="IL114" s="63"/>
      <c r="IM114" s="63"/>
      <c r="IN114" s="63"/>
      <c r="IO114" s="63"/>
      <c r="IP114" s="63"/>
      <c r="IQ114" s="63"/>
      <c r="IR114" s="63"/>
      <c r="IS114" s="63"/>
      <c r="IT114" s="63"/>
      <c r="IU114" s="63"/>
      <c r="IV114" s="63"/>
    </row>
    <row r="115" spans="1:256" s="69" customFormat="1" x14ac:dyDescent="0.35">
      <c r="A115" s="63"/>
      <c r="B115" s="63"/>
      <c r="C115" s="70" t="s">
        <v>129</v>
      </c>
      <c r="D115" s="71">
        <v>72.698400000000007</v>
      </c>
      <c r="E115" s="71">
        <v>72.724000000000004</v>
      </c>
      <c r="F115" s="66"/>
      <c r="G115" s="67"/>
      <c r="H115" s="67"/>
      <c r="I115" s="67"/>
      <c r="J115" s="67"/>
      <c r="K115" s="68"/>
      <c r="L115" s="68"/>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8"/>
      <c r="AJ115" s="63"/>
      <c r="AK115" s="63"/>
      <c r="AL115" s="63"/>
      <c r="AM115" s="63"/>
      <c r="AN115" s="63"/>
      <c r="AO115" s="63"/>
      <c r="AP115" s="63"/>
      <c r="AQ115" s="63"/>
      <c r="AR115" s="63"/>
      <c r="AS115" s="63"/>
      <c r="AT115" s="63"/>
      <c r="AU115" s="63"/>
      <c r="AV115" s="68"/>
      <c r="AW115" s="63"/>
      <c r="AX115" s="68"/>
      <c r="AY115" s="63"/>
      <c r="AZ115" s="63"/>
      <c r="BA115" s="63"/>
      <c r="BB115" s="68"/>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c r="CH115" s="63"/>
      <c r="CI115" s="63"/>
      <c r="CJ115" s="63"/>
      <c r="CK115" s="63"/>
      <c r="CL115" s="63"/>
      <c r="CM115" s="63"/>
      <c r="CN115" s="63"/>
      <c r="CO115" s="63"/>
      <c r="CP115" s="63"/>
      <c r="CQ115" s="63"/>
      <c r="CR115" s="63"/>
      <c r="CS115" s="63"/>
      <c r="CT115" s="63"/>
      <c r="CU115" s="63"/>
      <c r="CV115" s="63"/>
      <c r="CW115" s="63"/>
      <c r="CX115" s="63"/>
      <c r="CY115" s="63"/>
      <c r="CZ115" s="63"/>
      <c r="DA115" s="63"/>
      <c r="DB115" s="63"/>
      <c r="DC115" s="63"/>
      <c r="DD115" s="63"/>
      <c r="DE115" s="63"/>
      <c r="DF115" s="63"/>
      <c r="DG115" s="63"/>
      <c r="DH115" s="63"/>
      <c r="DI115" s="63"/>
      <c r="DJ115" s="63"/>
      <c r="DK115" s="63"/>
      <c r="DL115" s="63"/>
      <c r="DM115" s="63"/>
      <c r="DN115" s="63"/>
      <c r="DO115" s="63"/>
      <c r="DP115" s="63"/>
      <c r="DQ115" s="63"/>
      <c r="DR115" s="63"/>
      <c r="DS115" s="63"/>
      <c r="DT115" s="63"/>
      <c r="DU115" s="63"/>
      <c r="DV115" s="63"/>
      <c r="DW115" s="63"/>
      <c r="DX115" s="63"/>
      <c r="DY115" s="63"/>
      <c r="DZ115" s="63"/>
      <c r="EA115" s="63"/>
      <c r="EB115" s="63"/>
      <c r="EC115" s="63"/>
      <c r="ED115" s="63"/>
      <c r="EE115" s="63"/>
      <c r="EF115" s="63"/>
      <c r="EG115" s="63"/>
      <c r="EH115" s="63"/>
      <c r="EI115" s="63"/>
      <c r="EJ115" s="63"/>
      <c r="EK115" s="63"/>
      <c r="EL115" s="63"/>
      <c r="EM115" s="63"/>
      <c r="EN115" s="63"/>
      <c r="EO115" s="63"/>
      <c r="EP115" s="63"/>
      <c r="EQ115" s="63"/>
      <c r="ER115" s="63"/>
      <c r="ES115" s="63"/>
      <c r="ET115" s="63"/>
      <c r="EU115" s="63"/>
      <c r="EV115" s="63"/>
      <c r="EW115" s="63"/>
      <c r="EX115" s="63"/>
      <c r="EY115" s="63"/>
      <c r="EZ115" s="63"/>
      <c r="FA115" s="63"/>
      <c r="FB115" s="63"/>
      <c r="FC115" s="63"/>
      <c r="FD115" s="63"/>
      <c r="FE115" s="63"/>
      <c r="FF115" s="63"/>
      <c r="FG115" s="63"/>
      <c r="FH115" s="63"/>
      <c r="FI115" s="63"/>
      <c r="FJ115" s="63"/>
      <c r="FK115" s="63"/>
      <c r="FL115" s="63"/>
      <c r="FM115" s="63"/>
      <c r="FN115" s="63"/>
      <c r="FO115" s="63"/>
      <c r="FP115" s="63"/>
      <c r="FQ115" s="63"/>
      <c r="FR115" s="63"/>
      <c r="FS115" s="63"/>
      <c r="FT115" s="63"/>
      <c r="FU115" s="63"/>
      <c r="FV115" s="63"/>
      <c r="FW115" s="63"/>
      <c r="FX115" s="63"/>
      <c r="FY115" s="63"/>
      <c r="FZ115" s="63"/>
      <c r="GA115" s="63"/>
      <c r="GB115" s="63"/>
      <c r="GC115" s="63"/>
      <c r="GD115" s="63"/>
      <c r="GE115" s="63"/>
      <c r="GF115" s="63"/>
      <c r="GG115" s="63"/>
      <c r="GH115" s="63"/>
      <c r="GI115" s="63"/>
      <c r="GJ115" s="63"/>
      <c r="GK115" s="63"/>
      <c r="GL115" s="63"/>
      <c r="GM115" s="63"/>
      <c r="GN115" s="63"/>
      <c r="GO115" s="63"/>
      <c r="GP115" s="63"/>
      <c r="GQ115" s="63"/>
      <c r="GR115" s="63"/>
      <c r="GS115" s="63"/>
      <c r="GT115" s="63"/>
      <c r="GU115" s="63"/>
      <c r="GV115" s="63"/>
      <c r="GW115" s="63"/>
      <c r="GX115" s="63"/>
      <c r="GY115" s="63"/>
      <c r="GZ115" s="63"/>
      <c r="HA115" s="63"/>
      <c r="HB115" s="63"/>
      <c r="HC115" s="63"/>
      <c r="HD115" s="63"/>
      <c r="HE115" s="63"/>
      <c r="HF115" s="63"/>
      <c r="HG115" s="63"/>
      <c r="HH115" s="63"/>
      <c r="HI115" s="63"/>
      <c r="HJ115" s="63"/>
      <c r="HK115" s="63"/>
      <c r="HL115" s="63"/>
      <c r="HM115" s="63"/>
      <c r="HN115" s="63"/>
      <c r="HO115" s="63"/>
      <c r="HP115" s="63"/>
      <c r="HQ115" s="63"/>
      <c r="HR115" s="63"/>
      <c r="HS115" s="63"/>
      <c r="HT115" s="63"/>
      <c r="HU115" s="63"/>
      <c r="HV115" s="63"/>
      <c r="HW115" s="63"/>
      <c r="HX115" s="63"/>
      <c r="HY115" s="63"/>
      <c r="HZ115" s="63"/>
      <c r="IA115" s="63"/>
      <c r="IB115" s="63"/>
      <c r="IC115" s="63"/>
      <c r="ID115" s="63"/>
      <c r="IE115" s="63"/>
      <c r="IF115" s="63"/>
      <c r="IG115" s="63"/>
      <c r="IH115" s="63"/>
      <c r="II115" s="63"/>
      <c r="IJ115" s="63"/>
      <c r="IK115" s="63"/>
      <c r="IL115" s="63"/>
      <c r="IM115" s="63"/>
      <c r="IN115" s="63"/>
      <c r="IO115" s="63"/>
      <c r="IP115" s="63"/>
      <c r="IQ115" s="63"/>
      <c r="IR115" s="63"/>
      <c r="IS115" s="63"/>
      <c r="IT115" s="63"/>
      <c r="IU115" s="63"/>
      <c r="IV115" s="63"/>
    </row>
    <row r="116" spans="1:256" s="69" customFormat="1" ht="85" customHeight="1" x14ac:dyDescent="0.35">
      <c r="A116" s="63"/>
      <c r="B116" s="63"/>
      <c r="C116" s="72" t="s">
        <v>130</v>
      </c>
      <c r="D116" s="73"/>
      <c r="E116" s="74"/>
      <c r="F116" s="66"/>
      <c r="G116" s="67"/>
      <c r="H116" s="67"/>
      <c r="I116" s="67"/>
      <c r="J116" s="67"/>
      <c r="K116" s="68"/>
      <c r="L116" s="68"/>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8"/>
      <c r="AJ116" s="63"/>
      <c r="AK116" s="63"/>
      <c r="AL116" s="63"/>
      <c r="AM116" s="63"/>
      <c r="AN116" s="63"/>
      <c r="AO116" s="63"/>
      <c r="AP116" s="63"/>
      <c r="AQ116" s="63"/>
      <c r="AR116" s="63"/>
      <c r="AS116" s="63"/>
      <c r="AT116" s="63"/>
      <c r="AU116" s="63"/>
      <c r="AV116" s="68"/>
      <c r="AW116" s="63"/>
      <c r="AX116" s="68"/>
      <c r="AY116" s="63"/>
      <c r="AZ116" s="63"/>
      <c r="BA116" s="63"/>
      <c r="BB116" s="68"/>
      <c r="BC116" s="63"/>
      <c r="BD116" s="63"/>
      <c r="BE116" s="63"/>
      <c r="BF116" s="63"/>
      <c r="BG116" s="63"/>
      <c r="BH116" s="63"/>
      <c r="BI116" s="63"/>
      <c r="BJ116" s="63"/>
      <c r="BK116" s="63"/>
      <c r="BL116" s="63"/>
      <c r="BM116" s="63"/>
      <c r="BN116" s="63"/>
      <c r="BO116" s="63"/>
      <c r="BP116" s="63"/>
      <c r="BQ116" s="63"/>
      <c r="BR116" s="63"/>
      <c r="BS116" s="63"/>
      <c r="BT116" s="63"/>
      <c r="BU116" s="63"/>
      <c r="BV116" s="63"/>
      <c r="BW116" s="63"/>
      <c r="BX116" s="63"/>
      <c r="BY116" s="63"/>
      <c r="BZ116" s="63"/>
      <c r="CA116" s="63"/>
      <c r="CB116" s="63"/>
      <c r="CC116" s="63"/>
      <c r="CD116" s="63"/>
      <c r="CE116" s="63"/>
      <c r="CF116" s="63"/>
      <c r="CG116" s="63"/>
      <c r="CH116" s="63"/>
      <c r="CI116" s="63"/>
      <c r="CJ116" s="63"/>
      <c r="CK116" s="63"/>
      <c r="CL116" s="63"/>
      <c r="CM116" s="63"/>
      <c r="CN116" s="63"/>
      <c r="CO116" s="63"/>
      <c r="CP116" s="63"/>
      <c r="CQ116" s="63"/>
      <c r="CR116" s="63"/>
      <c r="CS116" s="63"/>
      <c r="CT116" s="63"/>
      <c r="CU116" s="63"/>
      <c r="CV116" s="63"/>
      <c r="CW116" s="63"/>
      <c r="CX116" s="63"/>
      <c r="CY116" s="63"/>
      <c r="CZ116" s="63"/>
      <c r="DA116" s="63"/>
      <c r="DB116" s="63"/>
      <c r="DC116" s="63"/>
      <c r="DD116" s="63"/>
      <c r="DE116" s="63"/>
      <c r="DF116" s="63"/>
      <c r="DG116" s="63"/>
      <c r="DH116" s="63"/>
      <c r="DI116" s="63"/>
      <c r="DJ116" s="63"/>
      <c r="DK116" s="63"/>
      <c r="DL116" s="63"/>
      <c r="DM116" s="63"/>
      <c r="DN116" s="63"/>
      <c r="DO116" s="63"/>
      <c r="DP116" s="63"/>
      <c r="DQ116" s="63"/>
      <c r="DR116" s="63"/>
      <c r="DS116" s="63"/>
      <c r="DT116" s="63"/>
      <c r="DU116" s="63"/>
      <c r="DV116" s="63"/>
      <c r="DW116" s="63"/>
      <c r="DX116" s="63"/>
      <c r="DY116" s="63"/>
      <c r="DZ116" s="63"/>
      <c r="EA116" s="63"/>
      <c r="EB116" s="63"/>
      <c r="EC116" s="63"/>
      <c r="ED116" s="63"/>
      <c r="EE116" s="63"/>
      <c r="EF116" s="63"/>
      <c r="EG116" s="63"/>
      <c r="EH116" s="63"/>
      <c r="EI116" s="63"/>
      <c r="EJ116" s="63"/>
      <c r="EK116" s="63"/>
      <c r="EL116" s="63"/>
      <c r="EM116" s="63"/>
      <c r="EN116" s="63"/>
      <c r="EO116" s="63"/>
      <c r="EP116" s="63"/>
      <c r="EQ116" s="63"/>
      <c r="ER116" s="63"/>
      <c r="ES116" s="63"/>
      <c r="ET116" s="63"/>
      <c r="EU116" s="63"/>
      <c r="EV116" s="63"/>
      <c r="EW116" s="63"/>
      <c r="EX116" s="63"/>
      <c r="EY116" s="63"/>
      <c r="EZ116" s="63"/>
      <c r="FA116" s="63"/>
      <c r="FB116" s="63"/>
      <c r="FC116" s="63"/>
      <c r="FD116" s="63"/>
      <c r="FE116" s="63"/>
      <c r="FF116" s="63"/>
      <c r="FG116" s="63"/>
      <c r="FH116" s="63"/>
      <c r="FI116" s="63"/>
      <c r="FJ116" s="63"/>
      <c r="FK116" s="63"/>
      <c r="FL116" s="63"/>
      <c r="FM116" s="63"/>
      <c r="FN116" s="63"/>
      <c r="FO116" s="63"/>
      <c r="FP116" s="63"/>
      <c r="FQ116" s="63"/>
      <c r="FR116" s="63"/>
      <c r="FS116" s="63"/>
      <c r="FT116" s="63"/>
      <c r="FU116" s="63"/>
      <c r="FV116" s="63"/>
      <c r="FW116" s="63"/>
      <c r="FX116" s="63"/>
      <c r="FY116" s="63"/>
      <c r="FZ116" s="63"/>
      <c r="GA116" s="63"/>
      <c r="GB116" s="63"/>
      <c r="GC116" s="63"/>
      <c r="GD116" s="63"/>
      <c r="GE116" s="63"/>
      <c r="GF116" s="63"/>
      <c r="GG116" s="63"/>
      <c r="GH116" s="63"/>
      <c r="GI116" s="63"/>
      <c r="GJ116" s="63"/>
      <c r="GK116" s="63"/>
      <c r="GL116" s="63"/>
      <c r="GM116" s="63"/>
      <c r="GN116" s="63"/>
      <c r="GO116" s="63"/>
      <c r="GP116" s="63"/>
      <c r="GQ116" s="63"/>
      <c r="GR116" s="63"/>
      <c r="GS116" s="63"/>
      <c r="GT116" s="63"/>
      <c r="GU116" s="63"/>
      <c r="GV116" s="63"/>
      <c r="GW116" s="63"/>
      <c r="GX116" s="63"/>
      <c r="GY116" s="63"/>
      <c r="GZ116" s="63"/>
      <c r="HA116" s="63"/>
      <c r="HB116" s="63"/>
      <c r="HC116" s="63"/>
      <c r="HD116" s="63"/>
      <c r="HE116" s="63"/>
      <c r="HF116" s="63"/>
      <c r="HG116" s="63"/>
      <c r="HH116" s="63"/>
      <c r="HI116" s="63"/>
      <c r="HJ116" s="63"/>
      <c r="HK116" s="63"/>
      <c r="HL116" s="63"/>
      <c r="HM116" s="63"/>
      <c r="HN116" s="63"/>
      <c r="HO116" s="63"/>
      <c r="HP116" s="63"/>
      <c r="HQ116" s="63"/>
      <c r="HR116" s="63"/>
      <c r="HS116" s="63"/>
      <c r="HT116" s="63"/>
      <c r="HU116" s="63"/>
      <c r="HV116" s="63"/>
      <c r="HW116" s="63"/>
      <c r="HX116" s="63"/>
      <c r="HY116" s="63"/>
      <c r="HZ116" s="63"/>
      <c r="IA116" s="63"/>
      <c r="IB116" s="63"/>
      <c r="IC116" s="63"/>
      <c r="ID116" s="63"/>
      <c r="IE116" s="63"/>
      <c r="IF116" s="63"/>
      <c r="IG116" s="63"/>
      <c r="IH116" s="63"/>
      <c r="II116" s="63"/>
      <c r="IJ116" s="63"/>
      <c r="IK116" s="63"/>
      <c r="IL116" s="63"/>
      <c r="IM116" s="63"/>
      <c r="IN116" s="63"/>
      <c r="IO116" s="63"/>
      <c r="IP116" s="63"/>
      <c r="IQ116" s="63"/>
      <c r="IR116" s="63"/>
      <c r="IS116" s="63"/>
      <c r="IT116" s="63"/>
      <c r="IU116" s="63"/>
      <c r="IV116" s="63"/>
    </row>
    <row r="118" spans="1:256" x14ac:dyDescent="0.35">
      <c r="C118" s="2" t="s">
        <v>131</v>
      </c>
      <c r="E118" s="2" t="s">
        <v>17</v>
      </c>
    </row>
    <row r="120" spans="1:256" x14ac:dyDescent="0.35">
      <c r="C120" s="2" t="s">
        <v>132</v>
      </c>
      <c r="E120" s="2" t="s">
        <v>17</v>
      </c>
    </row>
    <row r="122" spans="1:256" x14ac:dyDescent="0.35">
      <c r="C122" s="2" t="s">
        <v>133</v>
      </c>
    </row>
    <row r="124" spans="1:256" s="75" customFormat="1" ht="13.5" x14ac:dyDescent="0.35">
      <c r="C124" s="76" t="s">
        <v>134</v>
      </c>
      <c r="D124" s="76"/>
      <c r="E124" s="76"/>
      <c r="F124" s="77"/>
      <c r="G124" s="77"/>
      <c r="H124" s="78"/>
    </row>
    <row r="125" spans="1:256" s="75" customFormat="1" ht="40.5" x14ac:dyDescent="0.3">
      <c r="C125" s="79" t="s">
        <v>135</v>
      </c>
      <c r="D125" s="79" t="s">
        <v>136</v>
      </c>
      <c r="E125" s="79" t="s">
        <v>94</v>
      </c>
      <c r="F125" s="79" t="s">
        <v>137</v>
      </c>
      <c r="G125" s="79" t="s">
        <v>138</v>
      </c>
      <c r="H125" s="80" t="s">
        <v>139</v>
      </c>
    </row>
    <row r="126" spans="1:256" s="75" customFormat="1" ht="13.5" x14ac:dyDescent="0.3">
      <c r="C126" s="81" t="s">
        <v>140</v>
      </c>
      <c r="D126" s="79"/>
      <c r="E126" s="79"/>
      <c r="F126" s="79"/>
      <c r="G126" s="79"/>
      <c r="H126" s="80"/>
    </row>
    <row r="127" spans="1:256" s="75" customFormat="1" ht="13.5" x14ac:dyDescent="0.35">
      <c r="C127" s="82"/>
      <c r="D127" s="82"/>
      <c r="E127" s="82"/>
      <c r="F127" s="82"/>
      <c r="G127" s="82"/>
      <c r="H127" s="78"/>
    </row>
    <row r="128" spans="1:256" s="75" customFormat="1" ht="13.5" x14ac:dyDescent="0.35">
      <c r="C128" s="77" t="s">
        <v>141</v>
      </c>
      <c r="D128" s="77"/>
      <c r="E128" s="77"/>
      <c r="F128" s="77"/>
      <c r="G128" s="77"/>
      <c r="H128" s="78"/>
    </row>
    <row r="129" spans="3:13" s="75" customFormat="1" ht="13.5" x14ac:dyDescent="0.35">
      <c r="C129" s="83"/>
      <c r="D129" s="83"/>
      <c r="E129" s="83"/>
      <c r="F129" s="77"/>
      <c r="G129" s="77"/>
      <c r="H129" s="78"/>
    </row>
    <row r="130" spans="3:13" s="75" customFormat="1" ht="13.5" x14ac:dyDescent="0.35">
      <c r="C130" s="83" t="s">
        <v>142</v>
      </c>
      <c r="D130" s="83"/>
      <c r="E130" s="11"/>
      <c r="F130" s="77"/>
      <c r="G130" s="77"/>
      <c r="H130" s="78"/>
    </row>
    <row r="131" spans="3:13" s="75" customFormat="1" ht="13.5" x14ac:dyDescent="0.35">
      <c r="C131" s="77" t="s">
        <v>143</v>
      </c>
      <c r="D131" s="77"/>
      <c r="E131" s="77"/>
      <c r="F131" s="75" t="s">
        <v>140</v>
      </c>
      <c r="G131" s="77"/>
      <c r="H131" s="78"/>
    </row>
    <row r="132" spans="3:13" s="75" customFormat="1" ht="13.5" x14ac:dyDescent="0.35">
      <c r="C132" s="77" t="s">
        <v>144</v>
      </c>
      <c r="D132" s="77"/>
      <c r="E132" s="77"/>
      <c r="F132" s="75" t="s">
        <v>140</v>
      </c>
      <c r="G132" s="77"/>
      <c r="H132" s="78"/>
    </row>
    <row r="133" spans="3:13" s="75" customFormat="1" ht="13.5" x14ac:dyDescent="0.35">
      <c r="C133" s="77" t="s">
        <v>145</v>
      </c>
      <c r="D133" s="77"/>
      <c r="E133" s="77"/>
      <c r="F133" s="75" t="s">
        <v>140</v>
      </c>
      <c r="G133" s="84"/>
      <c r="H133" s="85"/>
    </row>
    <row r="134" spans="3:13" s="75" customFormat="1" ht="13.5" x14ac:dyDescent="0.35">
      <c r="C134" s="77" t="s">
        <v>146</v>
      </c>
      <c r="D134" s="77"/>
      <c r="E134" s="77"/>
      <c r="F134" s="75" t="s">
        <v>140</v>
      </c>
      <c r="G134" s="84"/>
      <c r="H134" s="85"/>
    </row>
    <row r="135" spans="3:13" s="75" customFormat="1" ht="13.5" x14ac:dyDescent="0.35">
      <c r="C135" s="77" t="s">
        <v>147</v>
      </c>
      <c r="D135" s="77"/>
      <c r="E135" s="77"/>
      <c r="F135" s="75" t="s">
        <v>140</v>
      </c>
      <c r="G135" s="84"/>
      <c r="H135" s="85"/>
    </row>
    <row r="136" spans="3:13" s="75" customFormat="1" ht="13.5" x14ac:dyDescent="0.35">
      <c r="C136" s="77" t="s">
        <v>148</v>
      </c>
      <c r="D136" s="77"/>
      <c r="E136" s="77"/>
      <c r="F136" s="75" t="s">
        <v>140</v>
      </c>
      <c r="G136" s="84"/>
      <c r="H136" s="85"/>
    </row>
    <row r="137" spans="3:13" s="75" customFormat="1" ht="13.5" x14ac:dyDescent="0.35">
      <c r="C137" s="77" t="s">
        <v>149</v>
      </c>
      <c r="D137" s="77"/>
      <c r="E137" s="77"/>
      <c r="F137" s="75" t="s">
        <v>140</v>
      </c>
      <c r="G137" s="84"/>
      <c r="H137" s="85"/>
    </row>
    <row r="138" spans="3:13" s="75" customFormat="1" ht="13.5" x14ac:dyDescent="0.35">
      <c r="C138" s="77" t="s">
        <v>150</v>
      </c>
      <c r="D138" s="77"/>
      <c r="E138" s="77"/>
      <c r="F138" s="75" t="s">
        <v>140</v>
      </c>
      <c r="G138" s="84"/>
      <c r="H138" s="85"/>
    </row>
    <row r="139" spans="3:13" s="75" customFormat="1" ht="13.5" x14ac:dyDescent="0.35">
      <c r="C139" s="77" t="s">
        <v>151</v>
      </c>
      <c r="D139" s="77"/>
      <c r="E139" s="77"/>
      <c r="F139" s="75" t="s">
        <v>140</v>
      </c>
      <c r="G139" s="84"/>
      <c r="H139" s="85"/>
      <c r="J139" s="86"/>
      <c r="K139" s="87"/>
      <c r="L139" s="88"/>
      <c r="M139" s="88"/>
    </row>
    <row r="140" spans="3:13" s="75" customFormat="1" ht="13.5" x14ac:dyDescent="0.35">
      <c r="C140" s="89"/>
      <c r="D140" s="89"/>
      <c r="E140" s="89"/>
      <c r="F140" s="90"/>
      <c r="G140" s="84"/>
      <c r="H140" s="85"/>
    </row>
    <row r="141" spans="3:13" s="75" customFormat="1" ht="13.5" x14ac:dyDescent="0.35">
      <c r="C141" s="77"/>
      <c r="D141" s="77"/>
      <c r="E141" s="77"/>
      <c r="F141" s="90"/>
      <c r="G141" s="90"/>
      <c r="H141" s="85"/>
    </row>
    <row r="142" spans="3:13" s="75" customFormat="1" ht="13.5" x14ac:dyDescent="0.35">
      <c r="C142" s="83" t="s">
        <v>152</v>
      </c>
      <c r="D142" s="83"/>
      <c r="E142" s="11"/>
      <c r="F142" s="77"/>
      <c r="G142" s="77"/>
      <c r="H142" s="78"/>
    </row>
    <row r="143" spans="3:13" s="75" customFormat="1" ht="40.5" x14ac:dyDescent="0.3">
      <c r="C143" s="79" t="s">
        <v>135</v>
      </c>
      <c r="D143" s="79" t="s">
        <v>136</v>
      </c>
      <c r="E143" s="79" t="s">
        <v>94</v>
      </c>
      <c r="F143" s="79" t="s">
        <v>137</v>
      </c>
      <c r="G143" s="79" t="s">
        <v>138</v>
      </c>
      <c r="H143" s="80" t="s">
        <v>139</v>
      </c>
    </row>
    <row r="144" spans="3:13" s="75" customFormat="1" ht="13.5" x14ac:dyDescent="0.35">
      <c r="C144" s="81" t="s">
        <v>140</v>
      </c>
      <c r="D144" s="91"/>
      <c r="E144" s="81"/>
      <c r="F144" s="92"/>
      <c r="G144" s="92"/>
      <c r="H144" s="92"/>
    </row>
    <row r="145" spans="3:9" s="75" customFormat="1" ht="13.5" x14ac:dyDescent="0.3">
      <c r="C145" s="93"/>
      <c r="D145" s="93"/>
      <c r="E145" s="93"/>
      <c r="F145" s="93"/>
      <c r="G145" s="93"/>
      <c r="H145" s="93"/>
    </row>
    <row r="146" spans="3:9" s="75" customFormat="1" ht="13.5" x14ac:dyDescent="0.35">
      <c r="C146" s="77" t="s">
        <v>153</v>
      </c>
      <c r="D146" s="77"/>
      <c r="E146" s="77"/>
      <c r="F146" s="77"/>
      <c r="G146" s="77"/>
      <c r="H146" s="77"/>
    </row>
    <row r="147" spans="3:9" s="75" customFormat="1" ht="13.5" x14ac:dyDescent="0.35">
      <c r="C147" s="83"/>
      <c r="D147" s="83"/>
      <c r="E147" s="83"/>
      <c r="F147" s="77"/>
      <c r="G147" s="77"/>
      <c r="H147" s="78"/>
    </row>
    <row r="148" spans="3:9" s="75" customFormat="1" ht="13.5" x14ac:dyDescent="0.35">
      <c r="C148" s="83" t="s">
        <v>154</v>
      </c>
      <c r="D148" s="83"/>
      <c r="E148" s="11"/>
      <c r="F148" s="77"/>
      <c r="G148" s="77"/>
      <c r="H148" s="78"/>
    </row>
    <row r="149" spans="3:9" s="75" customFormat="1" ht="13.5" x14ac:dyDescent="0.35">
      <c r="C149" s="77" t="s">
        <v>143</v>
      </c>
      <c r="D149" s="77"/>
      <c r="E149" s="77"/>
      <c r="F149" s="94" t="s">
        <v>140</v>
      </c>
      <c r="G149" s="77"/>
      <c r="H149" s="78"/>
    </row>
    <row r="150" spans="3:9" s="75" customFormat="1" ht="13.5" x14ac:dyDescent="0.35">
      <c r="C150" s="77" t="s">
        <v>144</v>
      </c>
      <c r="D150" s="77"/>
      <c r="E150" s="77"/>
      <c r="F150" s="94" t="s">
        <v>140</v>
      </c>
      <c r="G150" s="77"/>
      <c r="H150" s="78"/>
    </row>
    <row r="151" spans="3:9" s="75" customFormat="1" ht="13.5" x14ac:dyDescent="0.35">
      <c r="C151" s="77" t="s">
        <v>145</v>
      </c>
      <c r="D151" s="77"/>
      <c r="E151" s="77"/>
      <c r="F151" s="94" t="s">
        <v>140</v>
      </c>
      <c r="G151" s="84"/>
      <c r="H151" s="85"/>
    </row>
    <row r="152" spans="3:9" s="75" customFormat="1" ht="13.5" x14ac:dyDescent="0.35">
      <c r="C152" s="77" t="s">
        <v>146</v>
      </c>
      <c r="D152" s="77"/>
      <c r="E152" s="77"/>
      <c r="F152" s="94" t="s">
        <v>140</v>
      </c>
      <c r="G152" s="84"/>
      <c r="H152" s="85"/>
    </row>
    <row r="153" spans="3:9" s="75" customFormat="1" ht="13.5" x14ac:dyDescent="0.35">
      <c r="C153" s="77" t="s">
        <v>147</v>
      </c>
      <c r="D153" s="77"/>
      <c r="E153" s="77"/>
      <c r="F153" s="94" t="s">
        <v>140</v>
      </c>
      <c r="G153" s="84"/>
      <c r="H153" s="85"/>
    </row>
    <row r="154" spans="3:9" s="75" customFormat="1" ht="13.5" x14ac:dyDescent="0.35">
      <c r="C154" s="77" t="s">
        <v>148</v>
      </c>
      <c r="D154" s="77"/>
      <c r="E154" s="77"/>
      <c r="F154" s="94" t="s">
        <v>140</v>
      </c>
      <c r="G154" s="84"/>
      <c r="H154" s="85"/>
    </row>
    <row r="155" spans="3:9" s="75" customFormat="1" ht="13.5" x14ac:dyDescent="0.35">
      <c r="C155" s="77" t="s">
        <v>149</v>
      </c>
      <c r="D155" s="77"/>
      <c r="E155" s="77"/>
      <c r="F155" s="94" t="s">
        <v>140</v>
      </c>
      <c r="G155" s="84"/>
      <c r="H155" s="85"/>
    </row>
    <row r="156" spans="3:9" s="75" customFormat="1" ht="13.5" x14ac:dyDescent="0.35">
      <c r="C156" s="77" t="s">
        <v>150</v>
      </c>
      <c r="D156" s="77"/>
      <c r="E156" s="77"/>
      <c r="F156" s="94" t="s">
        <v>140</v>
      </c>
      <c r="G156" s="84"/>
      <c r="H156" s="85"/>
    </row>
    <row r="157" spans="3:9" s="75" customFormat="1" ht="13.5" x14ac:dyDescent="0.3">
      <c r="C157" s="59" t="s">
        <v>151</v>
      </c>
      <c r="D157" s="59"/>
      <c r="E157" s="59"/>
      <c r="F157" s="59" t="s">
        <v>140</v>
      </c>
      <c r="G157" s="95"/>
      <c r="H157" s="96"/>
    </row>
    <row r="158" spans="3:9" s="75" customFormat="1" ht="13.5" x14ac:dyDescent="0.35">
      <c r="C158" s="77"/>
      <c r="D158" s="77"/>
      <c r="E158" s="77"/>
      <c r="F158" s="97"/>
      <c r="G158" s="98"/>
      <c r="H158" s="78"/>
    </row>
    <row r="159" spans="3:9" s="75" customFormat="1" ht="13.5" x14ac:dyDescent="0.35">
      <c r="C159" s="83" t="s">
        <v>155</v>
      </c>
      <c r="D159" s="83"/>
      <c r="E159" s="76"/>
      <c r="F159" s="77"/>
      <c r="G159" s="99"/>
      <c r="H159" s="78"/>
      <c r="I159" s="100"/>
    </row>
    <row r="160" spans="3:9" s="75" customFormat="1" ht="40.5" x14ac:dyDescent="0.35">
      <c r="C160" s="79" t="s">
        <v>135</v>
      </c>
      <c r="D160" s="79" t="s">
        <v>156</v>
      </c>
      <c r="E160" s="79" t="s">
        <v>157</v>
      </c>
      <c r="F160" s="79" t="s">
        <v>158</v>
      </c>
      <c r="G160" s="99"/>
      <c r="H160" s="78"/>
    </row>
    <row r="161" spans="3:8" s="75" customFormat="1" ht="13.5" x14ac:dyDescent="0.35">
      <c r="C161" s="101" t="s">
        <v>140</v>
      </c>
      <c r="D161" s="101"/>
      <c r="E161" s="101"/>
      <c r="F161" s="101"/>
      <c r="G161" s="99"/>
      <c r="H161" s="78"/>
    </row>
    <row r="162" spans="3:8" s="75" customFormat="1" ht="13.5" x14ac:dyDescent="0.35">
      <c r="C162" s="77" t="s">
        <v>159</v>
      </c>
      <c r="D162" s="77"/>
      <c r="E162" s="77"/>
      <c r="F162" s="77"/>
      <c r="G162" s="99"/>
      <c r="H162" s="78"/>
    </row>
    <row r="163" spans="3:8" s="75" customFormat="1" ht="13.5" x14ac:dyDescent="0.35">
      <c r="C163" s="102"/>
      <c r="D163" s="102"/>
      <c r="E163" s="102"/>
      <c r="F163" s="77"/>
      <c r="G163" s="99"/>
      <c r="H163" s="78"/>
    </row>
    <row r="164" spans="3:8" s="75" customFormat="1" ht="13.5" x14ac:dyDescent="0.35">
      <c r="C164" s="83" t="s">
        <v>160</v>
      </c>
      <c r="D164" s="83"/>
      <c r="E164" s="11"/>
      <c r="F164" s="77"/>
      <c r="G164" s="77"/>
      <c r="H164" s="78"/>
    </row>
    <row r="165" spans="3:8" s="75" customFormat="1" ht="13.5" x14ac:dyDescent="0.35">
      <c r="C165" s="77" t="s">
        <v>161</v>
      </c>
      <c r="D165" s="77"/>
      <c r="E165" s="77"/>
      <c r="F165" s="77" t="s">
        <v>140</v>
      </c>
      <c r="G165" s="77"/>
      <c r="H165" s="78"/>
    </row>
    <row r="166" spans="3:8" s="75" customFormat="1" ht="13.5" x14ac:dyDescent="0.35">
      <c r="C166" s="77" t="s">
        <v>162</v>
      </c>
      <c r="D166" s="77"/>
      <c r="E166" s="77"/>
      <c r="F166" s="77" t="s">
        <v>140</v>
      </c>
      <c r="G166" s="77"/>
      <c r="H166" s="78"/>
    </row>
    <row r="167" spans="3:8" s="75" customFormat="1" ht="13.5" x14ac:dyDescent="0.35">
      <c r="C167" s="77" t="s">
        <v>163</v>
      </c>
      <c r="D167" s="77"/>
      <c r="E167" s="77"/>
      <c r="F167" s="77" t="s">
        <v>140</v>
      </c>
      <c r="G167" s="77"/>
      <c r="H167" s="78"/>
    </row>
    <row r="168" spans="3:8" s="75" customFormat="1" ht="13.5" x14ac:dyDescent="0.35">
      <c r="C168" s="89" t="s">
        <v>164</v>
      </c>
      <c r="D168" s="89"/>
      <c r="E168" s="89"/>
      <c r="F168" s="77"/>
      <c r="G168" s="77"/>
      <c r="H168" s="78"/>
    </row>
    <row r="169" spans="3:8" s="75" customFormat="1" ht="13.5" x14ac:dyDescent="0.35">
      <c r="C169" s="89"/>
      <c r="D169" s="89"/>
      <c r="E169" s="89"/>
      <c r="F169" s="77"/>
      <c r="G169" s="77"/>
      <c r="H169" s="78"/>
    </row>
    <row r="170" spans="3:8" s="75" customFormat="1" ht="13.5" x14ac:dyDescent="0.35">
      <c r="C170" s="76" t="s">
        <v>165</v>
      </c>
      <c r="D170" s="76"/>
      <c r="E170" s="76"/>
      <c r="F170" s="77"/>
      <c r="G170" s="99"/>
      <c r="H170" s="78"/>
    </row>
    <row r="171" spans="3:8" s="75" customFormat="1" ht="40.5" x14ac:dyDescent="0.35">
      <c r="C171" s="79" t="s">
        <v>135</v>
      </c>
      <c r="D171" s="79" t="s">
        <v>95</v>
      </c>
      <c r="E171" s="79" t="s">
        <v>156</v>
      </c>
      <c r="F171" s="79" t="s">
        <v>157</v>
      </c>
      <c r="G171" s="79" t="s">
        <v>166</v>
      </c>
      <c r="H171" s="78"/>
    </row>
    <row r="172" spans="3:8" s="75" customFormat="1" ht="13.5" x14ac:dyDescent="0.35">
      <c r="C172" s="101" t="s">
        <v>140</v>
      </c>
      <c r="D172" s="101"/>
      <c r="E172" s="101"/>
      <c r="F172" s="101"/>
      <c r="G172" s="101"/>
      <c r="H172" s="78"/>
    </row>
    <row r="173" spans="3:8" s="75" customFormat="1" ht="13.5" x14ac:dyDescent="0.35">
      <c r="C173" s="103" t="s">
        <v>167</v>
      </c>
      <c r="D173" s="103"/>
      <c r="E173" s="103"/>
      <c r="F173" s="103"/>
      <c r="G173" s="103"/>
      <c r="H173" s="78"/>
    </row>
    <row r="174" spans="3:8" s="75" customFormat="1" ht="13.5" x14ac:dyDescent="0.35">
      <c r="C174" s="104"/>
      <c r="D174" s="105"/>
      <c r="E174" s="105"/>
      <c r="F174" s="105"/>
      <c r="G174" s="105"/>
      <c r="H174" s="78"/>
    </row>
    <row r="175" spans="3:8" s="75" customFormat="1" ht="13.5" x14ac:dyDescent="0.35">
      <c r="C175" s="11" t="s">
        <v>168</v>
      </c>
      <c r="D175" s="11"/>
      <c r="E175" s="11"/>
      <c r="F175" s="77"/>
      <c r="G175" s="77"/>
      <c r="H175" s="78"/>
    </row>
    <row r="176" spans="3:8" s="75" customFormat="1" ht="13.5" x14ac:dyDescent="0.35">
      <c r="C176" s="77" t="s">
        <v>161</v>
      </c>
      <c r="D176" s="77"/>
      <c r="E176" s="77"/>
      <c r="F176" s="77" t="s">
        <v>140</v>
      </c>
      <c r="G176" s="77"/>
      <c r="H176" s="78"/>
    </row>
    <row r="177" spans="3:8" s="75" customFormat="1" ht="13.5" x14ac:dyDescent="0.35">
      <c r="C177" s="77" t="s">
        <v>162</v>
      </c>
      <c r="D177" s="77"/>
      <c r="E177" s="77"/>
      <c r="F177" s="77" t="s">
        <v>140</v>
      </c>
      <c r="G177" s="77"/>
      <c r="H177" s="78"/>
    </row>
    <row r="178" spans="3:8" s="75" customFormat="1" ht="13.5" x14ac:dyDescent="0.35">
      <c r="C178" s="77" t="s">
        <v>163</v>
      </c>
      <c r="D178" s="77"/>
      <c r="E178" s="77"/>
      <c r="F178" s="77" t="s">
        <v>140</v>
      </c>
      <c r="G178" s="77"/>
      <c r="H178" s="78"/>
    </row>
    <row r="179" spans="3:8" s="75" customFormat="1" ht="13" x14ac:dyDescent="0.3">
      <c r="H179" s="106"/>
    </row>
    <row r="180" spans="3:8" s="75" customFormat="1" ht="13.5" x14ac:dyDescent="0.35">
      <c r="C180" s="83" t="s">
        <v>169</v>
      </c>
      <c r="H180" s="106"/>
    </row>
    <row r="181" spans="3:8" s="75" customFormat="1" x14ac:dyDescent="0.3">
      <c r="C181" s="107" t="s">
        <v>170</v>
      </c>
      <c r="D181" s="107" t="s">
        <v>171</v>
      </c>
      <c r="E181" s="107" t="s">
        <v>172</v>
      </c>
      <c r="F181" s="108" t="s">
        <v>173</v>
      </c>
      <c r="G181" s="109" t="s">
        <v>174</v>
      </c>
      <c r="H181" s="106"/>
    </row>
    <row r="182" spans="3:8" s="75" customFormat="1" x14ac:dyDescent="0.3">
      <c r="C182" s="107"/>
      <c r="D182" s="107"/>
      <c r="E182" s="107"/>
      <c r="F182" s="108"/>
      <c r="G182" s="109" t="s">
        <v>175</v>
      </c>
      <c r="H182" s="106"/>
    </row>
    <row r="183" spans="3:8" s="75" customFormat="1" x14ac:dyDescent="0.35">
      <c r="C183" s="110" t="s">
        <v>176</v>
      </c>
      <c r="D183" s="111" t="s">
        <v>177</v>
      </c>
      <c r="E183" s="111" t="s">
        <v>178</v>
      </c>
      <c r="F183" s="112">
        <v>46422</v>
      </c>
      <c r="G183" s="111">
        <v>30000</v>
      </c>
      <c r="H183" s="106"/>
    </row>
    <row r="184" spans="3:8" s="75" customFormat="1" x14ac:dyDescent="0.35">
      <c r="C184" s="113"/>
      <c r="D184" s="111" t="s">
        <v>179</v>
      </c>
      <c r="E184" s="111" t="s">
        <v>180</v>
      </c>
      <c r="F184" s="112">
        <v>48064</v>
      </c>
      <c r="G184" s="111">
        <v>-30000</v>
      </c>
      <c r="H184" s="106"/>
    </row>
    <row r="185" spans="3:8" s="75" customFormat="1" x14ac:dyDescent="0.35">
      <c r="C185" s="110" t="s">
        <v>181</v>
      </c>
      <c r="D185" s="111" t="s">
        <v>177</v>
      </c>
      <c r="E185" s="111" t="s">
        <v>178</v>
      </c>
      <c r="F185" s="112">
        <v>46410</v>
      </c>
      <c r="G185" s="111">
        <v>30000</v>
      </c>
      <c r="H185" s="106"/>
    </row>
    <row r="186" spans="3:8" s="75" customFormat="1" x14ac:dyDescent="0.35">
      <c r="C186" s="113"/>
      <c r="D186" s="111" t="s">
        <v>179</v>
      </c>
      <c r="E186" s="111" t="s">
        <v>180</v>
      </c>
      <c r="F186" s="112">
        <v>48052</v>
      </c>
      <c r="G186" s="111">
        <v>-30000</v>
      </c>
      <c r="H186" s="106"/>
    </row>
    <row r="187" spans="3:8" s="75" customFormat="1" x14ac:dyDescent="0.35">
      <c r="C187" s="110" t="s">
        <v>176</v>
      </c>
      <c r="D187" s="111" t="s">
        <v>177</v>
      </c>
      <c r="E187" s="111" t="s">
        <v>178</v>
      </c>
      <c r="F187" s="112">
        <v>46410</v>
      </c>
      <c r="G187" s="111">
        <v>20000</v>
      </c>
      <c r="H187" s="106"/>
    </row>
    <row r="188" spans="3:8" s="75" customFormat="1" x14ac:dyDescent="0.35">
      <c r="C188" s="113"/>
      <c r="D188" s="111" t="s">
        <v>179</v>
      </c>
      <c r="E188" s="111" t="s">
        <v>180</v>
      </c>
      <c r="F188" s="112">
        <v>48052</v>
      </c>
      <c r="G188" s="111">
        <v>-20000</v>
      </c>
      <c r="H188" s="106"/>
    </row>
    <row r="189" spans="3:8" s="75" customFormat="1" x14ac:dyDescent="0.35">
      <c r="C189" s="110" t="s">
        <v>182</v>
      </c>
      <c r="D189" s="111" t="s">
        <v>177</v>
      </c>
      <c r="E189" s="111" t="s">
        <v>178</v>
      </c>
      <c r="F189" s="112">
        <v>46410</v>
      </c>
      <c r="G189" s="111">
        <v>10000</v>
      </c>
      <c r="H189" s="106"/>
    </row>
    <row r="190" spans="3:8" s="75" customFormat="1" x14ac:dyDescent="0.35">
      <c r="C190" s="113"/>
      <c r="D190" s="111" t="s">
        <v>179</v>
      </c>
      <c r="E190" s="111" t="s">
        <v>180</v>
      </c>
      <c r="F190" s="112">
        <v>48052</v>
      </c>
      <c r="G190" s="111">
        <v>-10000</v>
      </c>
      <c r="H190" s="106"/>
    </row>
    <row r="191" spans="3:8" s="75" customFormat="1" x14ac:dyDescent="0.35">
      <c r="C191" s="110" t="s">
        <v>181</v>
      </c>
      <c r="D191" s="111" t="s">
        <v>177</v>
      </c>
      <c r="E191" s="111" t="s">
        <v>178</v>
      </c>
      <c r="F191" s="112">
        <v>46422</v>
      </c>
      <c r="G191" s="111">
        <v>30000</v>
      </c>
      <c r="H191" s="106"/>
    </row>
    <row r="192" spans="3:8" s="75" customFormat="1" x14ac:dyDescent="0.35">
      <c r="C192" s="113"/>
      <c r="D192" s="111" t="s">
        <v>179</v>
      </c>
      <c r="E192" s="111" t="s">
        <v>180</v>
      </c>
      <c r="F192" s="112">
        <v>48064</v>
      </c>
      <c r="G192" s="111">
        <v>-30000</v>
      </c>
      <c r="H192" s="106"/>
    </row>
    <row r="193" spans="3:8" s="75" customFormat="1" x14ac:dyDescent="0.35">
      <c r="C193" s="110" t="s">
        <v>182</v>
      </c>
      <c r="D193" s="111" t="s">
        <v>177</v>
      </c>
      <c r="E193" s="111" t="s">
        <v>178</v>
      </c>
      <c r="F193" s="112">
        <v>46410</v>
      </c>
      <c r="G193" s="111">
        <v>5000</v>
      </c>
      <c r="H193" s="106"/>
    </row>
    <row r="194" spans="3:8" s="75" customFormat="1" x14ac:dyDescent="0.35">
      <c r="C194" s="113"/>
      <c r="D194" s="111" t="s">
        <v>179</v>
      </c>
      <c r="E194" s="111" t="s">
        <v>180</v>
      </c>
      <c r="F194" s="112">
        <v>48052</v>
      </c>
      <c r="G194" s="111">
        <v>-5000</v>
      </c>
      <c r="H194" s="106"/>
    </row>
    <row r="195" spans="3:8" s="75" customFormat="1" x14ac:dyDescent="0.35">
      <c r="C195" s="110" t="s">
        <v>181</v>
      </c>
      <c r="D195" s="111" t="s">
        <v>177</v>
      </c>
      <c r="E195" s="111" t="s">
        <v>178</v>
      </c>
      <c r="F195" s="112">
        <v>46410</v>
      </c>
      <c r="G195" s="111">
        <v>15000</v>
      </c>
      <c r="H195" s="106"/>
    </row>
    <row r="196" spans="3:8" s="75" customFormat="1" x14ac:dyDescent="0.35">
      <c r="C196" s="113"/>
      <c r="D196" s="111" t="s">
        <v>179</v>
      </c>
      <c r="E196" s="111" t="s">
        <v>180</v>
      </c>
      <c r="F196" s="112">
        <v>48052</v>
      </c>
      <c r="G196" s="111">
        <v>-15000</v>
      </c>
      <c r="H196" s="106"/>
    </row>
    <row r="197" spans="3:8" s="75" customFormat="1" x14ac:dyDescent="0.35">
      <c r="C197" s="110" t="s">
        <v>183</v>
      </c>
      <c r="D197" s="111" t="s">
        <v>177</v>
      </c>
      <c r="E197" s="111" t="s">
        <v>178</v>
      </c>
      <c r="F197" s="112">
        <v>46410</v>
      </c>
      <c r="G197" s="111">
        <v>10000</v>
      </c>
      <c r="H197" s="106"/>
    </row>
    <row r="198" spans="3:8" s="75" customFormat="1" x14ac:dyDescent="0.35">
      <c r="C198" s="113"/>
      <c r="D198" s="111" t="s">
        <v>179</v>
      </c>
      <c r="E198" s="111" t="s">
        <v>180</v>
      </c>
      <c r="F198" s="112">
        <v>48052</v>
      </c>
      <c r="G198" s="111">
        <v>-10000</v>
      </c>
      <c r="H198" s="106"/>
    </row>
    <row r="199" spans="3:8" s="75" customFormat="1" x14ac:dyDescent="0.35">
      <c r="C199" s="110" t="s">
        <v>181</v>
      </c>
      <c r="D199" s="111" t="s">
        <v>177</v>
      </c>
      <c r="E199" s="111" t="s">
        <v>178</v>
      </c>
      <c r="F199" s="112">
        <v>46410</v>
      </c>
      <c r="G199" s="111">
        <v>10000</v>
      </c>
      <c r="H199" s="106"/>
    </row>
    <row r="200" spans="3:8" s="75" customFormat="1" x14ac:dyDescent="0.35">
      <c r="C200" s="113"/>
      <c r="D200" s="111" t="s">
        <v>179</v>
      </c>
      <c r="E200" s="111" t="s">
        <v>180</v>
      </c>
      <c r="F200" s="112">
        <v>48052</v>
      </c>
      <c r="G200" s="111">
        <v>-10000</v>
      </c>
      <c r="H200" s="106"/>
    </row>
    <row r="201" spans="3:8" s="75" customFormat="1" x14ac:dyDescent="0.35">
      <c r="C201" s="110" t="s">
        <v>184</v>
      </c>
      <c r="D201" s="111" t="s">
        <v>177</v>
      </c>
      <c r="E201" s="111" t="s">
        <v>178</v>
      </c>
      <c r="F201" s="112">
        <v>46410</v>
      </c>
      <c r="G201" s="111">
        <v>15000</v>
      </c>
      <c r="H201" s="106"/>
    </row>
    <row r="202" spans="3:8" s="75" customFormat="1" x14ac:dyDescent="0.35">
      <c r="C202" s="113"/>
      <c r="D202" s="111" t="s">
        <v>179</v>
      </c>
      <c r="E202" s="111" t="s">
        <v>180</v>
      </c>
      <c r="F202" s="112">
        <v>48052</v>
      </c>
      <c r="G202" s="111">
        <v>-15000</v>
      </c>
      <c r="H202" s="106"/>
    </row>
    <row r="203" spans="3:8" s="75" customFormat="1" x14ac:dyDescent="0.35">
      <c r="C203" s="110" t="s">
        <v>185</v>
      </c>
      <c r="D203" s="111" t="s">
        <v>177</v>
      </c>
      <c r="E203" s="111" t="s">
        <v>178</v>
      </c>
      <c r="F203" s="112">
        <v>46410</v>
      </c>
      <c r="G203" s="111">
        <v>5000</v>
      </c>
      <c r="H203" s="106"/>
    </row>
    <row r="204" spans="3:8" s="75" customFormat="1" x14ac:dyDescent="0.35">
      <c r="C204" s="113"/>
      <c r="D204" s="111" t="s">
        <v>179</v>
      </c>
      <c r="E204" s="111" t="s">
        <v>180</v>
      </c>
      <c r="F204" s="112">
        <v>48052</v>
      </c>
      <c r="G204" s="111">
        <v>-5000</v>
      </c>
      <c r="H204" s="106"/>
    </row>
    <row r="205" spans="3:8" s="75" customFormat="1" x14ac:dyDescent="0.35">
      <c r="C205" s="110" t="s">
        <v>186</v>
      </c>
      <c r="D205" s="111" t="s">
        <v>177</v>
      </c>
      <c r="E205" s="111" t="s">
        <v>178</v>
      </c>
      <c r="F205" s="112">
        <v>46422</v>
      </c>
      <c r="G205" s="111">
        <v>30000</v>
      </c>
      <c r="H205" s="106"/>
    </row>
    <row r="206" spans="3:8" s="75" customFormat="1" x14ac:dyDescent="0.35">
      <c r="C206" s="113"/>
      <c r="D206" s="111" t="s">
        <v>179</v>
      </c>
      <c r="E206" s="111" t="s">
        <v>180</v>
      </c>
      <c r="F206" s="112">
        <v>48064</v>
      </c>
      <c r="G206" s="111">
        <v>-30000</v>
      </c>
      <c r="H206" s="106"/>
    </row>
    <row r="207" spans="3:8" s="75" customFormat="1" x14ac:dyDescent="0.35">
      <c r="C207" s="110" t="s">
        <v>176</v>
      </c>
      <c r="D207" s="111" t="s">
        <v>177</v>
      </c>
      <c r="E207" s="111" t="s">
        <v>178</v>
      </c>
      <c r="F207" s="112">
        <v>46402</v>
      </c>
      <c r="G207" s="111">
        <v>20000</v>
      </c>
      <c r="H207" s="106"/>
    </row>
    <row r="208" spans="3:8" s="75" customFormat="1" x14ac:dyDescent="0.35">
      <c r="C208" s="113"/>
      <c r="D208" s="111" t="s">
        <v>179</v>
      </c>
      <c r="E208" s="111" t="s">
        <v>180</v>
      </c>
      <c r="F208" s="112">
        <v>48044</v>
      </c>
      <c r="G208" s="111">
        <v>-20000</v>
      </c>
      <c r="H208" s="106"/>
    </row>
    <row r="209" spans="3:8" s="75" customFormat="1" x14ac:dyDescent="0.35">
      <c r="C209" s="110" t="s">
        <v>181</v>
      </c>
      <c r="D209" s="111" t="s">
        <v>177</v>
      </c>
      <c r="E209" s="111" t="s">
        <v>178</v>
      </c>
      <c r="F209" s="112">
        <v>46402</v>
      </c>
      <c r="G209" s="111">
        <v>10000</v>
      </c>
      <c r="H209" s="106"/>
    </row>
    <row r="210" spans="3:8" s="75" customFormat="1" x14ac:dyDescent="0.35">
      <c r="C210" s="113"/>
      <c r="D210" s="111" t="s">
        <v>179</v>
      </c>
      <c r="E210" s="111" t="s">
        <v>180</v>
      </c>
      <c r="F210" s="112">
        <v>48044</v>
      </c>
      <c r="G210" s="111">
        <v>-10000</v>
      </c>
      <c r="H210" s="106"/>
    </row>
    <row r="211" spans="3:8" s="75" customFormat="1" x14ac:dyDescent="0.3">
      <c r="C211" s="114" t="s">
        <v>187</v>
      </c>
      <c r="H211" s="106"/>
    </row>
    <row r="212" spans="3:8" s="75" customFormat="1" ht="13.5" x14ac:dyDescent="0.35">
      <c r="C212" s="83"/>
      <c r="H212" s="106"/>
    </row>
    <row r="213" spans="3:8" x14ac:dyDescent="0.35">
      <c r="C213" s="2" t="s">
        <v>188</v>
      </c>
      <c r="E213" s="2" t="s">
        <v>17</v>
      </c>
    </row>
    <row r="215" spans="3:8" x14ac:dyDescent="0.35">
      <c r="C215" s="2" t="s">
        <v>189</v>
      </c>
      <c r="E215" s="115" t="s">
        <v>190</v>
      </c>
    </row>
    <row r="217" spans="3:8" x14ac:dyDescent="0.35">
      <c r="C217" s="2" t="s">
        <v>191</v>
      </c>
      <c r="E217" s="116" t="s">
        <v>192</v>
      </c>
    </row>
    <row r="219" spans="3:8" x14ac:dyDescent="0.35">
      <c r="C219" s="2" t="s">
        <v>193</v>
      </c>
      <c r="E219" s="2" t="s">
        <v>17</v>
      </c>
    </row>
    <row r="221" spans="3:8" x14ac:dyDescent="0.35">
      <c r="C221" s="11" t="s">
        <v>194</v>
      </c>
      <c r="E221" s="117" t="s">
        <v>195</v>
      </c>
    </row>
    <row r="222" spans="3:8" x14ac:dyDescent="0.35">
      <c r="E222" s="2" t="s">
        <v>196</v>
      </c>
    </row>
  </sheetData>
  <mergeCells count="10">
    <mergeCell ref="C181:C182"/>
    <mergeCell ref="D181:D182"/>
    <mergeCell ref="E181:E182"/>
    <mergeCell ref="F181:F182"/>
    <mergeCell ref="C95:K95"/>
    <mergeCell ref="C97:K97"/>
    <mergeCell ref="C116:E116"/>
    <mergeCell ref="C161:F161"/>
    <mergeCell ref="C172:G172"/>
    <mergeCell ref="C173:G173"/>
  </mergeCells>
  <hyperlinks>
    <hyperlink ref="J2" location="'Index'!A1" display="'Index'!A1" xr:uid="{8C5E1D95-B3C3-4342-8756-0B844642DFD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SMGF</vt:lpstr>
      <vt:lpstr>SMGF!Print_Area</vt:lpstr>
      <vt:lpstr>XDO_?CLASS_3?33?</vt:lpstr>
      <vt:lpstr>XDO_?FINAL_ISIN?184?</vt:lpstr>
      <vt:lpstr>XDO_?FINAL_ISIN?185?</vt:lpstr>
      <vt:lpstr>XDO_?FINAL_ISIN?186?</vt:lpstr>
      <vt:lpstr>XDO_?FINAL_ISIN?187?</vt:lpstr>
      <vt:lpstr>XDO_?FINAL_ISIN?188?</vt:lpstr>
      <vt:lpstr>XDO_?FINAL_MV?184?</vt:lpstr>
      <vt:lpstr>XDO_?FINAL_MV?185?</vt:lpstr>
      <vt:lpstr>XDO_?FINAL_MV?186?</vt:lpstr>
      <vt:lpstr>XDO_?FINAL_MV?187?</vt:lpstr>
      <vt:lpstr>XDO_?FINAL_MV?188?</vt:lpstr>
      <vt:lpstr>XDO_?FINAL_NAME?184?</vt:lpstr>
      <vt:lpstr>XDO_?FINAL_NAME?185?</vt:lpstr>
      <vt:lpstr>XDO_?FINAL_NAME?186?</vt:lpstr>
      <vt:lpstr>XDO_?FINAL_NAME?187?</vt:lpstr>
      <vt:lpstr>XDO_?FINAL_NAME?188?</vt:lpstr>
      <vt:lpstr>XDO_?FINAL_PER_NET?184?</vt:lpstr>
      <vt:lpstr>XDO_?FINAL_PER_NET?185?</vt:lpstr>
      <vt:lpstr>XDO_?FINAL_PER_NET?186?</vt:lpstr>
      <vt:lpstr>XDO_?FINAL_PER_NET?187?</vt:lpstr>
      <vt:lpstr>XDO_?FINAL_PER_NET?188?</vt:lpstr>
      <vt:lpstr>XDO_?FINAL_QUANTITE?184?</vt:lpstr>
      <vt:lpstr>XDO_?FINAL_QUANTITE?185?</vt:lpstr>
      <vt:lpstr>XDO_?FINAL_QUANTITE?186?</vt:lpstr>
      <vt:lpstr>XDO_?FINAL_QUANTITE?187?</vt:lpstr>
      <vt:lpstr>XDO_?FINAL_QUANTITE?188?</vt:lpstr>
      <vt:lpstr>XDO_?NAMCNAME?33?</vt:lpstr>
      <vt:lpstr>XDO_?NOVAL?184?</vt:lpstr>
      <vt:lpstr>XDO_?NOVAL?185?</vt:lpstr>
      <vt:lpstr>XDO_?NOVAL?186?</vt:lpstr>
      <vt:lpstr>XDO_?NOVAL?187?</vt:lpstr>
      <vt:lpstr>XDO_?NOVAL?188?</vt:lpstr>
      <vt:lpstr>XDO_?NPTF?33?</vt:lpstr>
      <vt:lpstr>XDO_?RATING?184?</vt:lpstr>
      <vt:lpstr>XDO_?RATING?185?</vt:lpstr>
      <vt:lpstr>XDO_?RATING?186?</vt:lpstr>
      <vt:lpstr>XDO_?RATING?187?</vt:lpstr>
      <vt:lpstr>XDO_?RATING?188?</vt:lpstr>
      <vt:lpstr>XDO_?REMARKS?184?</vt:lpstr>
      <vt:lpstr>XDO_?REMARKS?185?</vt:lpstr>
      <vt:lpstr>XDO_?REMARKS?186?</vt:lpstr>
      <vt:lpstr>XDO_?REMARKS?187?</vt:lpstr>
      <vt:lpstr>XDO_?REMARKS?188?</vt:lpstr>
      <vt:lpstr>XDO_?TITL?33?</vt:lpstr>
      <vt:lpstr>XDO_?YTM?184?</vt:lpstr>
      <vt:lpstr>XDO_?YTM?185?</vt:lpstr>
      <vt:lpstr>XDO_?YTM?186?</vt:lpstr>
      <vt:lpstr>XDO_?YTM?187?</vt:lpstr>
      <vt:lpstr>XDO_?YTM?188?</vt:lpstr>
      <vt:lpstr>XDO_GROUP_?G_2?33?</vt:lpstr>
      <vt:lpstr>XDO_GROUP_?G_3?33?</vt:lpstr>
      <vt:lpstr>XDO_GROUP_?G_4?184?</vt:lpstr>
      <vt:lpstr>XDO_GROUP_?G_4?185?</vt:lpstr>
      <vt:lpstr>XDO_GROUP_?G_4?186?</vt:lpstr>
      <vt:lpstr>XDO_GROUP_?G_4?187?</vt:lpstr>
      <vt:lpstr>XDO_GROUP_?G_4?188?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2026-09-08T10:56:10Z</dcterms:created>
  <dcterms:modified xsi:type="dcterms:W3CDTF">2026-09-08T10:56:11Z</dcterms:modified>
</cp:coreProperties>
</file>